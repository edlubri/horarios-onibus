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300" tabRatio="851"/>
  </bookViews>
  <sheets>
    <sheet name="101" sheetId="1" r:id="rId1"/>
    <sheet name="102" sheetId="37" r:id="rId2"/>
    <sheet name="103" sheetId="38" r:id="rId3"/>
    <sheet name="105" sheetId="40" r:id="rId4"/>
    <sheet name="107" sheetId="43" r:id="rId5"/>
    <sheet name="108" sheetId="44" r:id="rId6"/>
    <sheet name="109" sheetId="45" r:id="rId7"/>
    <sheet name="110" sheetId="47" r:id="rId8"/>
    <sheet name="111" sheetId="48" r:id="rId9"/>
    <sheet name="112" sheetId="46" r:id="rId10"/>
    <sheet name="113" sheetId="49" r:id="rId11"/>
    <sheet name="114" sheetId="50" r:id="rId12"/>
    <sheet name="115" sheetId="72" r:id="rId13"/>
    <sheet name="116" sheetId="51" r:id="rId14"/>
    <sheet name="117" sheetId="79" r:id="rId15"/>
    <sheet name="119" sheetId="55" r:id="rId16"/>
    <sheet name="201" sheetId="59" r:id="rId17"/>
    <sheet name="202" sheetId="60" r:id="rId18"/>
    <sheet name="205" sheetId="61" r:id="rId19"/>
    <sheet name="206" sheetId="62" r:id="rId20"/>
    <sheet name="301 " sheetId="68" r:id="rId21"/>
    <sheet name="301 (Extra)" sheetId="76" r:id="rId22"/>
    <sheet name="302" sheetId="69" r:id="rId23"/>
    <sheet name="302(Extra)" sheetId="64" r:id="rId24"/>
    <sheet name="304" sheetId="65" r:id="rId25"/>
    <sheet name="305" sheetId="66" r:id="rId26"/>
    <sheet name="305 (Extra)" sheetId="77" r:id="rId27"/>
    <sheet name="306" sheetId="67" r:id="rId28"/>
    <sheet name="Trajetos Carater Especial " sheetId="83" r:id="rId29"/>
    <sheet name="Trajeto Especiais Vibra" sheetId="82" r:id="rId30"/>
    <sheet name="Trajeto Especiais Atlas" sheetId="84" r:id="rId31"/>
    <sheet name="GERAL" sheetId="31" r:id="rId32"/>
    <sheet name="LINHA x FROTA x KM" sheetId="73" r:id="rId33"/>
    <sheet name="HORAS" sheetId="74" r:id="rId34"/>
    <sheet name="LINHA x FROTA x HORA" sheetId="75" r:id="rId35"/>
    <sheet name="Planilha36" sheetId="85" r:id="rId36"/>
  </sheets>
  <definedNames>
    <definedName name="_xlnm.Print_Area" localSheetId="0">'101'!#REF!</definedName>
    <definedName name="_xlnm.Print_Area" localSheetId="1">'102'!$A$39:$F$72</definedName>
    <definedName name="_xlnm.Print_Area" localSheetId="2">'103'!$A$39:$D$60</definedName>
    <definedName name="_xlnm.Print_Area" localSheetId="3">'105'!#REF!</definedName>
    <definedName name="_xlnm.Print_Area" localSheetId="4">'107'!#REF!</definedName>
    <definedName name="_xlnm.Print_Area" localSheetId="5">'108'!$A$1:$D$22</definedName>
    <definedName name="_xlnm.Print_Area" localSheetId="6">'109'!$A$2:$E$14</definedName>
    <definedName name="_xlnm.Print_Area" localSheetId="7">'110'!#REF!</definedName>
    <definedName name="_xlnm.Print_Area" localSheetId="8">'111'!#REF!</definedName>
    <definedName name="_xlnm.Print_Area" localSheetId="9">'112'!$A$1:$D$39</definedName>
    <definedName name="_xlnm.Print_Area" localSheetId="10">'113'!$A$43:$D$66</definedName>
    <definedName name="_xlnm.Print_Area" localSheetId="11">'114'!#REF!</definedName>
    <definedName name="_xlnm.Print_Area" localSheetId="12">'115'!$A$1:$C$33</definedName>
    <definedName name="_xlnm.Print_Area" localSheetId="13">'116'!$A$1:$E$26</definedName>
    <definedName name="_xlnm.Print_Area" localSheetId="14">'117'!$A$1:$C$6</definedName>
    <definedName name="_xlnm.Print_Area" localSheetId="15">'119'!#REF!</definedName>
    <definedName name="_xlnm.Print_Area" localSheetId="16">'201'!$A$1:$D$19</definedName>
    <definedName name="_xlnm.Print_Area" localSheetId="17">'202'!$A$1:$C$19</definedName>
    <definedName name="_xlnm.Print_Area" localSheetId="18">'205'!$A$1:$D$18</definedName>
    <definedName name="_xlnm.Print_Area" localSheetId="19">'206'!$A$1:$D$33</definedName>
    <definedName name="_xlnm.Print_Area" localSheetId="20">'301 '!$A$1:$D$32</definedName>
    <definedName name="_xlnm.Print_Area" localSheetId="21">'301 (Extra)'!$A$1:$D$14</definedName>
    <definedName name="_xlnm.Print_Area" localSheetId="22">'302'!$A$1:$C$20</definedName>
    <definedName name="_xlnm.Print_Area" localSheetId="23">'302(Extra)'!$A$1:$D$11</definedName>
    <definedName name="_xlnm.Print_Area" localSheetId="24">'304'!$A$1:$D$18</definedName>
    <definedName name="_xlnm.Print_Area" localSheetId="25">'305'!$A$1:$E$18</definedName>
    <definedName name="_xlnm.Print_Area" localSheetId="26">'305 (Extra)'!$A$1:$E$5</definedName>
    <definedName name="_xlnm.Print_Area" localSheetId="27">'306'!$A$1:$D$16</definedName>
    <definedName name="_xlnm.Print_Area" localSheetId="31">GERAL!$A$1:$O$45</definedName>
    <definedName name="_xlnm.Print_Area" localSheetId="33">HORAS!$A$1:$H$37</definedName>
    <definedName name="_xlnm.Print_Area" localSheetId="30">'Trajeto Especiais Atlas'!#REF!</definedName>
    <definedName name="_xlnm.Print_Area" localSheetId="29">'Trajeto Especiais Vibra'!$A$1:$D$13</definedName>
    <definedName name="_xlnm.Print_Area" localSheetId="28">'Trajetos Carater Especial '!#REF!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user</author>
  </authors>
  <commentList>
    <comment ref="B22" authorId="0">
      <text>
        <r>
          <rPr>
            <b/>
            <sz val="9"/>
            <rFont val="Times New Roman"/>
            <charset val="0"/>
          </rPr>
          <t>user:</t>
        </r>
        <r>
          <rPr>
            <sz val="9"/>
            <rFont val="Times New Roman"/>
            <charset val="0"/>
          </rPr>
          <t xml:space="preserve">
17H50 TREVO PATINHO</t>
        </r>
      </text>
    </comment>
  </commentList>
</comments>
</file>

<file path=xl/comments2.xml><?xml version="1.0" encoding="utf-8"?>
<comments xmlns="http://schemas.openxmlformats.org/spreadsheetml/2006/main">
  <authors>
    <author xml:space="preserve">Tupa Transportes </author>
  </authors>
  <commentList>
    <comment ref="F23" authorId="0">
      <text>
        <r>
          <rPr>
            <b/>
            <sz val="9"/>
            <rFont val="Segoe UI"/>
            <charset val="134"/>
          </rPr>
          <t>Tupa Transportes :</t>
        </r>
        <r>
          <rPr>
            <sz val="9"/>
            <rFont val="Segoe UI"/>
            <charset val="134"/>
          </rPr>
          <t xml:space="preserve">
viagens realizadas no dia 06/11 conforme solicitado pelo ofício 3.529/2022
</t>
        </r>
      </text>
    </comment>
  </commentList>
</comments>
</file>

<file path=xl/comments3.xml><?xml version="1.0" encoding="utf-8"?>
<comments xmlns="http://schemas.openxmlformats.org/spreadsheetml/2006/main">
  <authors>
    <author>user</author>
  </authors>
  <commentList>
    <comment ref="F7" authorId="0">
      <text>
        <r>
          <rPr>
            <b/>
            <sz val="9"/>
            <rFont val="Arial"/>
            <charset val="0"/>
          </rPr>
          <t>user:</t>
        </r>
        <r>
          <rPr>
            <sz val="9"/>
            <rFont val="Arial"/>
            <charset val="0"/>
          </rPr>
          <t xml:space="preserve">
gratuidade</t>
        </r>
      </text>
    </comment>
  </commentList>
</comments>
</file>

<file path=xl/sharedStrings.xml><?xml version="1.0" encoding="utf-8"?>
<sst xmlns="http://schemas.openxmlformats.org/spreadsheetml/2006/main" count="1744" uniqueCount="496">
  <si>
    <t>Linha 101 - Gralha Azul - Pq. Ind. - UTFPR - UNIDEP</t>
  </si>
  <si>
    <r>
      <rPr>
        <b/>
        <sz val="12"/>
        <color theme="1"/>
        <rFont val="Arial Narrow"/>
        <charset val="134"/>
      </rPr>
      <t>(Bairro Gralha Azul) Rua Jaury Heitor de Souza, Rua Ricieri Pastori, Rua Marcelino Parzianello, Rua das Flores, Marginal Av. Tupi, Av. Tupi, Av. Tupi, Av. Brasil, Rua Xingú, Rua Tamoio, P I 3, Rua Ararigboia, Rua Tocantins, P I 4, Rua Jaciretã, Av. Tupi, Trevo do Patinho, BR-158,  CAPEG,</t>
    </r>
    <r>
      <rPr>
        <b/>
        <u/>
        <sz val="12"/>
        <color rgb="FFFF0000"/>
        <rFont val="Arial Narrow"/>
        <charset val="134"/>
      </rPr>
      <t xml:space="preserve"> (# Granja Real, Parque Industrial Theóphilo Petrikoski),</t>
    </r>
    <r>
      <rPr>
        <b/>
        <sz val="12"/>
        <color theme="1"/>
        <rFont val="Arial Narrow"/>
        <charset val="134"/>
      </rPr>
      <t xml:space="preserve"> BR-158, PR 493, </t>
    </r>
    <r>
      <rPr>
        <b/>
        <u/>
        <sz val="12"/>
        <color theme="1"/>
        <rFont val="Arial Narrow"/>
        <charset val="134"/>
      </rPr>
      <t>UTFPR</t>
    </r>
    <r>
      <rPr>
        <b/>
        <sz val="12"/>
        <color theme="1"/>
        <rFont val="Arial Narrow"/>
        <charset val="134"/>
      </rPr>
      <t>, Rua Eliza Cola Padoan, Rua Irineu Parzianello, Rua Lidio Oltramari, Rua Benjamim Borges dos Santos, UNIDEP, PR 493,Trevo Patinho, Av. Tupi, Rua Tapir, Rua Caramuru, P I 1, Rua Tamoio, Av. Tupi, Marginal Av. Tupi, Rua das Flores, Rua Princesa Isabel, Rua Jaury Heitor de Souza (Bairro Gralha Azul).</t>
    </r>
  </si>
  <si>
    <t>SEGUNDA-FEIRA À SEXTA-FEIRA (SÁBADO ATÉ AS 13H20MIN)</t>
  </si>
  <si>
    <t>Bairro Gralha Azul</t>
  </si>
  <si>
    <t>P I 3                                             Ponto Antiga Rodoviária            (Rua Tamoio)</t>
  </si>
  <si>
    <t>#GRANJA REAL</t>
  </si>
  <si>
    <t>UTFPR - UNIDEP</t>
  </si>
  <si>
    <t>P I 1                                              Ponto Casa do Artesão             (Rua Caramuru)</t>
  </si>
  <si>
    <t>/</t>
  </si>
  <si>
    <r>
      <rPr>
        <b/>
        <sz val="12"/>
        <color theme="1"/>
        <rFont val="Arial Narrow"/>
        <charset val="134"/>
      </rPr>
      <t xml:space="preserve">(Bairro Gralha Azul) Rua Jaury Heitor de Souza, Rua Ricieri Pastori, Rua Marcelino Parzianello, Rua das Flores, Marginal Av. Tupi, Av. Tupi, Av. Brasil, Rua Xingú, Rua Tamoio, P I 3, Rua Ararigboia, Rua Tocantins, P I 4, Rua Jaciretã, Avenida Tupi, Trevo do Patinho, BR 158, Parque Industrial Theophilo Petrikoski,  </t>
    </r>
    <r>
      <rPr>
        <b/>
        <sz val="12"/>
        <color rgb="FFFF0000"/>
        <rFont val="Arial Narrow"/>
        <charset val="134"/>
      </rPr>
      <t>(# Granja Real, Parque Industrial Theóphilo Petrikoski)</t>
    </r>
    <r>
      <rPr>
        <b/>
        <sz val="12"/>
        <color theme="1"/>
        <rFont val="Arial Narrow"/>
        <charset val="134"/>
      </rPr>
      <t xml:space="preserve"> BR 158, PR 493, UTFPR, Rua Eliza Cola Padoan, Rua Irineu Parzianello, Rua Lidio Oltramari, Rua Benjamim Borges dos Santos, </t>
    </r>
    <r>
      <rPr>
        <b/>
        <u/>
        <sz val="12"/>
        <color theme="1"/>
        <rFont val="Arial Narrow"/>
        <charset val="134"/>
      </rPr>
      <t>UNIDEP</t>
    </r>
    <r>
      <rPr>
        <b/>
        <sz val="12"/>
        <color theme="1"/>
        <rFont val="Arial Narrow"/>
        <charset val="134"/>
      </rPr>
      <t>, PR 493,Trevo Patinho, Av. Tupi, Avenida da Inovação (Shopping Pato Branco) Avenida da Inovação,  Avenida Tupi, Trevo do Patinho, Avenida Tupi, Rua Tapir, Rua Caramuru, P I 1, Rua Tamoio, Av. Tupi, Marginal Av. Tupi, Rua das Flores, Rua Princesa Isabel, Rua Jaury Heitor de Souza (Bairro Gralha Azul).</t>
    </r>
  </si>
  <si>
    <t>SÁBADO</t>
  </si>
  <si>
    <t xml:space="preserve"># Granja Real - Bairro São Francisco </t>
  </si>
  <si>
    <t>Shopping Pato Branco</t>
  </si>
  <si>
    <t>CARRO 01</t>
  </si>
  <si>
    <t>CARRO 02</t>
  </si>
  <si>
    <t>Exceções</t>
  </si>
  <si>
    <t xml:space="preserve">Segunda-feira à Sexta-feira </t>
  </si>
  <si>
    <r>
      <rPr>
        <sz val="12"/>
        <rFont val="Arial Narrow"/>
        <charset val="134"/>
      </rPr>
      <t xml:space="preserve">1. No itinerário das </t>
    </r>
    <r>
      <rPr>
        <b/>
        <u/>
        <sz val="12"/>
        <color rgb="FFFF0000"/>
        <rFont val="Arial Narrow"/>
        <charset val="134"/>
      </rPr>
      <t>20h15min, 20h55min, 21h40min, 22h15min e 22h55min</t>
    </r>
    <r>
      <rPr>
        <sz val="12"/>
        <rFont val="Arial Narrow"/>
        <charset val="134"/>
      </rPr>
      <t xml:space="preserve"> no sentido </t>
    </r>
    <r>
      <rPr>
        <b/>
        <u/>
        <sz val="12"/>
        <rFont val="Arial Narrow"/>
        <charset val="134"/>
      </rPr>
      <t>Bairro Gralha Azul - P I 3 - Ponto Antiga Rodoviária</t>
    </r>
    <r>
      <rPr>
        <sz val="12"/>
        <rFont val="Arial Narrow"/>
        <charset val="134"/>
      </rPr>
      <t xml:space="preserve"> inclui-se ao intinerário a </t>
    </r>
    <r>
      <rPr>
        <b/>
        <u/>
        <sz val="12"/>
        <rFont val="Arial Narrow"/>
        <charset val="134"/>
      </rPr>
      <t>Rua Bento Gonçalves, Rua Marechal Deodoro, Rua Curitiba,  Rua Ângelo Gabriel, Rua dos Gerânios, Rua Curitiba, Rua dos Jasmins, Rua Jaci R.Ferreira (Bairro Novo Horizonte), Rua Bento Gonçalves, Rua Marechal Deodoro,  Rua Uruguaiana (Bairro Cristo Rei).</t>
    </r>
  </si>
  <si>
    <r>
      <rPr>
        <sz val="12"/>
        <rFont val="Arial Narrow"/>
        <charset val="134"/>
      </rPr>
      <t xml:space="preserve">2. No itinerário das </t>
    </r>
    <r>
      <rPr>
        <b/>
        <u/>
        <sz val="12"/>
        <color rgb="FFFF0000"/>
        <rFont val="Arial Narrow"/>
        <charset val="134"/>
      </rPr>
      <t>21h40min, 22h20min e 23h05min</t>
    </r>
    <r>
      <rPr>
        <sz val="12"/>
        <rFont val="Arial Narrow"/>
        <charset val="134"/>
      </rPr>
      <t xml:space="preserve"> no sentido </t>
    </r>
    <r>
      <rPr>
        <b/>
        <u/>
        <sz val="12"/>
        <rFont val="Arial Narrow"/>
        <charset val="134"/>
      </rPr>
      <t>UTFPR - FADEP - CENTRO GRALHA AZUL</t>
    </r>
    <r>
      <rPr>
        <sz val="12"/>
        <rFont val="Arial Narrow"/>
        <charset val="134"/>
      </rPr>
      <t xml:space="preserve"> o intinerário sera executado da seguinte forma  </t>
    </r>
    <r>
      <rPr>
        <b/>
        <u/>
        <sz val="12"/>
        <rFont val="Arial Narrow"/>
        <charset val="134"/>
      </rPr>
      <t>UTFPR, Rua Eliza Cola Padoan, Rua Irineu Parzianello, Rua Lidio Oltramari, Rua Benjamim Borges dos Santos, UNIDEP, PR 493,Trevo Patinho, Av. Tupi, Rua Tapir, Rua Caramuru, P I 1, Rua Tamoio, Av. Tupi, Rua Princesa Isabel, Rua Jaury Heitor de Souza (Bairro Gralha Azul).</t>
    </r>
  </si>
  <si>
    <r>
      <rPr>
        <sz val="12"/>
        <rFont val="Arial Narrow"/>
        <charset val="134"/>
      </rPr>
      <t xml:space="preserve">3. No itinerario das </t>
    </r>
    <r>
      <rPr>
        <b/>
        <u/>
        <sz val="12"/>
        <color rgb="FFFF0000"/>
        <rFont val="Arial Narrow"/>
        <charset val="134"/>
      </rPr>
      <t>22h55min e 23h35min</t>
    </r>
    <r>
      <rPr>
        <sz val="12"/>
        <rFont val="Arial Narrow"/>
        <charset val="134"/>
      </rPr>
      <t xml:space="preserve"> no sentido </t>
    </r>
    <r>
      <rPr>
        <b/>
        <u/>
        <sz val="12"/>
        <rFont val="Arial Narrow"/>
        <charset val="134"/>
      </rPr>
      <t>Bairro Gralha Azul - P I 3 - Ponto Antiga Rodoviária</t>
    </r>
    <r>
      <rPr>
        <sz val="12"/>
        <rFont val="Arial Narrow"/>
        <charset val="134"/>
      </rPr>
      <t xml:space="preserve"> inclui-se ao intinerário a </t>
    </r>
    <r>
      <rPr>
        <b/>
        <u/>
        <sz val="12"/>
        <rFont val="Arial Narrow"/>
        <charset val="134"/>
      </rPr>
      <t>Rua Luís Xavier, Rua Manoel Bandeira, Rua Antônio Garcês, Rua R. da República, Rua Papa João XXIII, Avenida Tupi.</t>
    </r>
  </si>
  <si>
    <t>SÁBADOS</t>
  </si>
  <si>
    <r>
      <rPr>
        <sz val="12"/>
        <rFont val="Arial Narrow"/>
        <charset val="134"/>
      </rPr>
      <t xml:space="preserve">1. A partir das viagens das </t>
    </r>
    <r>
      <rPr>
        <b/>
        <u/>
        <sz val="12"/>
        <color rgb="FFFF0000"/>
        <rFont val="Arial Narrow"/>
        <charset val="134"/>
      </rPr>
      <t>15h00min</t>
    </r>
    <r>
      <rPr>
        <sz val="12"/>
        <rFont val="Arial Narrow"/>
        <charset val="134"/>
      </rPr>
      <t xml:space="preserve"> e </t>
    </r>
    <r>
      <rPr>
        <b/>
        <u/>
        <sz val="12"/>
        <color rgb="FFFF0000"/>
        <rFont val="Arial Narrow"/>
        <charset val="134"/>
      </rPr>
      <t>15h40min,</t>
    </r>
    <r>
      <rPr>
        <sz val="12"/>
        <rFont val="Arial Narrow"/>
        <charset val="134"/>
      </rPr>
      <t xml:space="preserve">   no sentido </t>
    </r>
    <r>
      <rPr>
        <b/>
        <u/>
        <sz val="12"/>
        <rFont val="Arial Narrow"/>
        <charset val="134"/>
      </rPr>
      <t>UTFPR - FADEP - CENTRO GRALHA AZUL,</t>
    </r>
    <r>
      <rPr>
        <sz val="12"/>
        <rFont val="Arial Narrow"/>
        <charset val="134"/>
      </rPr>
      <t xml:space="preserve"> inicia atendimento ao </t>
    </r>
    <r>
      <rPr>
        <b/>
        <u/>
        <sz val="12"/>
        <rFont val="Arial Narrow"/>
        <charset val="134"/>
      </rPr>
      <t>Shopping Pato Branco</t>
    </r>
  </si>
  <si>
    <r>
      <rPr>
        <sz val="12"/>
        <rFont val="Arial Narrow"/>
        <charset val="134"/>
      </rPr>
      <t xml:space="preserve">2. Na viagem das </t>
    </r>
    <r>
      <rPr>
        <b/>
        <u/>
        <sz val="12"/>
        <color rgb="FFFF0000"/>
        <rFont val="Arial Narrow"/>
        <charset val="134"/>
      </rPr>
      <t>12h20min</t>
    </r>
    <r>
      <rPr>
        <sz val="12"/>
        <color rgb="FFFF0000"/>
        <rFont val="Arial Narrow"/>
        <charset val="134"/>
      </rPr>
      <t xml:space="preserve"> </t>
    </r>
    <r>
      <rPr>
        <sz val="12"/>
        <rFont val="Arial Narrow"/>
        <charset val="134"/>
      </rPr>
      <t xml:space="preserve">sentido </t>
    </r>
    <r>
      <rPr>
        <b/>
        <u/>
        <sz val="12"/>
        <rFont val="Arial Narrow"/>
        <charset val="134"/>
      </rPr>
      <t>UTFPR - UNIDEP - Bairro Gralha Azul,</t>
    </r>
    <r>
      <rPr>
        <sz val="12"/>
        <rFont val="Arial Narrow"/>
        <charset val="134"/>
      </rPr>
      <t xml:space="preserve"> inclui no seu intinerario o trajeto da Linha 111 Fraron, </t>
    </r>
    <r>
      <rPr>
        <b/>
        <u/>
        <sz val="12"/>
        <rFont val="Arial Narrow"/>
        <charset val="134"/>
      </rPr>
      <t>(UTFPR, Rua Eliza Colla Padoan, Rua Irineu Parzianello, Rua Lidio Oltramari, Rua Clevelândia, Rua José Tatto,  Rua José Fraron, Rua Veríssimo Rizzi, Rua Luiz Parzianello, PR 493).</t>
    </r>
  </si>
  <si>
    <r>
      <rPr>
        <sz val="12"/>
        <rFont val="Arial Narrow"/>
        <charset val="134"/>
      </rPr>
      <t xml:space="preserve">3. Nas viagens das </t>
    </r>
    <r>
      <rPr>
        <b/>
        <u/>
        <sz val="12"/>
        <color rgb="FFFF0000"/>
        <rFont val="Arial Narrow"/>
        <charset val="134"/>
      </rPr>
      <t xml:space="preserve">18h00min </t>
    </r>
    <r>
      <rPr>
        <sz val="12"/>
        <rFont val="Arial Narrow"/>
        <charset val="134"/>
      </rPr>
      <t xml:space="preserve">sentido </t>
    </r>
    <r>
      <rPr>
        <b/>
        <u/>
        <sz val="12"/>
        <rFont val="Arial Narrow"/>
        <charset val="134"/>
      </rPr>
      <t>PI3 - UTFPR</t>
    </r>
    <r>
      <rPr>
        <sz val="12"/>
        <rFont val="Arial Narrow"/>
        <charset val="134"/>
      </rPr>
      <t xml:space="preserve">, inclui no seu intinerário o trajeto da Linha 119 Sâo Francisco, </t>
    </r>
    <r>
      <rPr>
        <b/>
        <u/>
        <sz val="12"/>
        <rFont val="Arial Narrow"/>
        <charset val="134"/>
      </rPr>
      <t>Rua Artibano Sutile, Rua  Vitorino Tiocheta, Rua Dionisio Daniel Sauthier, Rua Celito Giacomel, Rua Pioneiro Victório Leonardi,  Rua Melci Dal Molin, Rua Artibano Sutile.</t>
    </r>
  </si>
  <si>
    <r>
      <rPr>
        <sz val="12"/>
        <rFont val="Arial Narrow"/>
        <charset val="134"/>
      </rPr>
      <t xml:space="preserve">4. No itinerário das </t>
    </r>
    <r>
      <rPr>
        <b/>
        <u/>
        <sz val="12"/>
        <color rgb="FFFF0000"/>
        <rFont val="Arial Narrow"/>
        <charset val="134"/>
      </rPr>
      <t xml:space="preserve">22h20min </t>
    </r>
    <r>
      <rPr>
        <sz val="12"/>
        <rFont val="Arial Narrow"/>
        <charset val="134"/>
      </rPr>
      <t xml:space="preserve">no sentido </t>
    </r>
    <r>
      <rPr>
        <b/>
        <u/>
        <sz val="12"/>
        <rFont val="Arial Narrow"/>
        <charset val="134"/>
      </rPr>
      <t>UTFPR - FADEP - CENTRO GRALHA AZUL</t>
    </r>
    <r>
      <rPr>
        <sz val="12"/>
        <rFont val="Arial Narrow"/>
        <charset val="134"/>
      </rPr>
      <t xml:space="preserve"> o intinerário sera executado da seguinte forma  </t>
    </r>
    <r>
      <rPr>
        <b/>
        <u/>
        <sz val="12"/>
        <rFont val="Arial Narrow"/>
        <charset val="134"/>
      </rPr>
      <t>UTFPR, Rua Eliza Cola Padoan, Rua Irineu Parzianello, Rua Lidio Oltramari, Rua Benjamim Borges dos Santos, UNIDEP, PR 493,Trevo Patinho, Av. Tupi, Avenida da Inovação (Shopping Pato Branco) Avenida da Inovação,  Avenida Tupi, Trevo do Patinho, Avenida Tupi, Rua Tapir, Rua Caramuru, P I 1, Rua Tamoio, Av. Tupi, Rua Princesa Isabel, Rua Jaury Heitor de Souza (Bairro Gralha Azul)</t>
    </r>
  </si>
  <si>
    <t xml:space="preserve"> Linha 102 - Av. Tupi - UTFPR - UNIDEP</t>
  </si>
  <si>
    <r>
      <rPr>
        <b/>
        <sz val="12"/>
        <color theme="1"/>
        <rFont val="Arial Narrow"/>
        <charset val="134"/>
      </rPr>
      <t>(Bairro Encruzilhada) Trevo Patrola, Marginal Av. Tupi,  Av. Tupi, Av. Brasil, Rua Xingú, Rua Tamoio, P I 3, Rua Ararigboia, Rua Tocantins, P I 4, Rua Jaciretã, Av. Tupi, Trevo do Patinho, BR 158, Parque Industrial Theophilo Petrikosi, BR 158 PR-493, (</t>
    </r>
    <r>
      <rPr>
        <b/>
        <u/>
        <sz val="12"/>
        <color theme="1"/>
        <rFont val="Arial Narrow"/>
        <charset val="134"/>
      </rPr>
      <t># BR-158, Granja Real, BR 158</t>
    </r>
    <r>
      <rPr>
        <b/>
        <sz val="12"/>
        <color theme="1"/>
        <rFont val="Arial Narrow"/>
        <charset val="134"/>
      </rPr>
      <t xml:space="preserve">), PR 493, UTFPR, Rua Eliza Cola Padoan, Rua Irineu Parzianello, Rua Lidio Oltramari, Rua Benjamim Borges dos Santos, UNIDEP, PR-493, Trevo Patinho, Av. Tupi, Rua Tapir, Rua Caramuru, P I 1, Rua Tamoio, Av. Tupi, Marginal Av. Tupi, Av. Tupi, Trevo da Patrola (Bairro Encruzinhada). </t>
    </r>
  </si>
  <si>
    <t>SEGUNDA-FEIRA À SEXTA-FEIRA</t>
  </si>
  <si>
    <t>Trevo Patrola</t>
  </si>
  <si>
    <t>Bairro Planalto (Rua Siriemas)</t>
  </si>
  <si>
    <t>P I 3                                              Ponto Casa do Artesão             (Rua Tamoio)</t>
  </si>
  <si>
    <t xml:space="preserve"> # Granja Real</t>
  </si>
  <si>
    <t xml:space="preserve">(Bairro Gralha Azul) Rua Jaury Heitor de Souza, Rua Ricieri Pastori, Rua Marcelino Parzianello, Rua das Flores, Marginal Av. Tupi, (Trevo Patrola), Marginal Av. Tupi,  Av. Tupi, Av. Brasil, Rua Xingú, Rua Tamoio, P I 3, Rua Ararigboia, Rua Tocantins, P I 4, Rua Jaciretã, Av. Tupi, (Avenida da Inovação (Shopping Pato Branco) Avenida da Inovação), Trevo do Patinho, BR 158, Parque Industrial Teophilo Petrikoski, BR 158, PR-493, UTFPR, Rua Eliza Cola Padoan, Rua Irineu Parzianello, Rua Lidio Oltramari, Rua Benjamim Borges dos Santos, UNIDEP, PR-493, Trevo Patinho, Av. Tupi, (Avenida da Inocavação (Shopping Pato Branco), Avenida da Inovação, Avenida Tupi, Rua Tapir, Rua Caramuru, P I 1, Rua Tamoio, Av. Tupi, Rua Uruguaiana, Rua Marechal Deodoro, Rua General Osório, Rua Tiradentes, Rua Princesa Isabel, Rua Alexandre Gusmão, Av. Tupi, Trevo da Patrola. </t>
  </si>
  <si>
    <t>DOMINGOS</t>
  </si>
  <si>
    <t xml:space="preserve">Gralha Azul </t>
  </si>
  <si>
    <r>
      <rPr>
        <sz val="12"/>
        <rFont val="Arial Narrow"/>
        <charset val="134"/>
      </rPr>
      <t xml:space="preserve">1. Após as </t>
    </r>
    <r>
      <rPr>
        <b/>
        <sz val="12"/>
        <color rgb="FFFF0000"/>
        <rFont val="Arial Narrow"/>
        <charset val="134"/>
      </rPr>
      <t>19h20min</t>
    </r>
    <r>
      <rPr>
        <b/>
        <sz val="12"/>
        <rFont val="Arial Narrow"/>
        <charset val="134"/>
      </rPr>
      <t xml:space="preserve"> </t>
    </r>
    <r>
      <rPr>
        <sz val="12"/>
        <rFont val="Arial Narrow"/>
        <charset val="134"/>
      </rPr>
      <t>não entra no Bairro Encruzilhada</t>
    </r>
  </si>
  <si>
    <r>
      <rPr>
        <sz val="12"/>
        <rFont val="Arial Narrow"/>
        <charset val="134"/>
      </rPr>
      <t xml:space="preserve">2.O </t>
    </r>
    <r>
      <rPr>
        <b/>
        <u/>
        <sz val="12"/>
        <rFont val="Arial Narrow"/>
        <charset val="134"/>
      </rPr>
      <t>Carro 03 e o Carro 04</t>
    </r>
    <r>
      <rPr>
        <sz val="12"/>
        <rFont val="Arial Narrow"/>
        <charset val="134"/>
      </rPr>
      <t xml:space="preserve"> são executados de </t>
    </r>
    <r>
      <rPr>
        <b/>
        <u/>
        <sz val="12"/>
        <rFont val="Arial Narrow"/>
        <charset val="134"/>
      </rPr>
      <t>Segunda - Feira à Sexta - Feira</t>
    </r>
    <r>
      <rPr>
        <sz val="12"/>
        <rFont val="Arial Narrow"/>
        <charset val="134"/>
      </rPr>
      <t>.</t>
    </r>
  </si>
  <si>
    <r>
      <rPr>
        <sz val="12"/>
        <rFont val="Arial Narrow"/>
        <charset val="134"/>
      </rPr>
      <t xml:space="preserve">3. Na viagem das </t>
    </r>
    <r>
      <rPr>
        <b/>
        <sz val="12"/>
        <color rgb="FFFF0000"/>
        <rFont val="Arial Narrow"/>
        <charset val="134"/>
      </rPr>
      <t>23h05</t>
    </r>
    <r>
      <rPr>
        <sz val="12"/>
        <rFont val="Arial Narrow"/>
        <charset val="134"/>
      </rPr>
      <t xml:space="preserve"> sentido Trevo da Patrola, inclui o atendimento ao Bairro Planalto</t>
    </r>
    <r>
      <rPr>
        <b/>
        <u/>
        <sz val="12"/>
        <rFont val="Arial Narrow"/>
        <charset val="134"/>
      </rPr>
      <t xml:space="preserve"> (Trevo da Patrola, PR 280, Trevo da Cattani, BR 158, Trevo da Guepardo, Marginal BR 158, Rua das Araras, Rua das Garças, Rua dos Cardeais, Rua das Siriemas).</t>
    </r>
  </si>
  <si>
    <r>
      <rPr>
        <sz val="12"/>
        <color theme="1"/>
        <rFont val="Arial Narrow"/>
        <charset val="134"/>
      </rPr>
      <t xml:space="preserve">1. Itinerário executado até às </t>
    </r>
    <r>
      <rPr>
        <b/>
        <u/>
        <sz val="12"/>
        <color rgb="FFFF0000"/>
        <rFont val="Arial Narrow"/>
        <charset val="134"/>
      </rPr>
      <t>13h40min</t>
    </r>
    <r>
      <rPr>
        <sz val="12"/>
        <color theme="1"/>
        <rFont val="Arial Narrow"/>
        <charset val="134"/>
      </rPr>
      <t>.</t>
    </r>
  </si>
  <si>
    <r>
      <rPr>
        <sz val="12"/>
        <color theme="1"/>
        <rFont val="Arial Narrow"/>
        <charset val="134"/>
      </rPr>
      <t>1. Nas viagens das</t>
    </r>
    <r>
      <rPr>
        <u/>
        <sz val="12"/>
        <color theme="1"/>
        <rFont val="Arial Narrow"/>
        <charset val="134"/>
      </rPr>
      <t xml:space="preserve"> </t>
    </r>
    <r>
      <rPr>
        <b/>
        <u/>
        <sz val="12"/>
        <color rgb="FFFF0000"/>
        <rFont val="Arial Narrow"/>
        <charset val="134"/>
      </rPr>
      <t>07h05, 08h20, 12h00, 14h35 e 18h10</t>
    </r>
    <r>
      <rPr>
        <sz val="12"/>
        <color theme="1"/>
        <rFont val="Arial Narrow"/>
        <charset val="134"/>
      </rPr>
      <t xml:space="preserve"> </t>
    </r>
    <r>
      <rPr>
        <b/>
        <u/>
        <sz val="12"/>
        <color theme="1"/>
        <rFont val="Arial Narrow"/>
        <charset val="134"/>
      </rPr>
      <t>Centro sentido Bairro Gralha Azul</t>
    </r>
    <r>
      <rPr>
        <sz val="12"/>
        <color theme="1"/>
        <rFont val="Arial Narrow"/>
        <charset val="134"/>
      </rPr>
      <t xml:space="preserve">  o intinerário sera executado da seguinte forma: </t>
    </r>
    <r>
      <rPr>
        <b/>
        <u/>
        <sz val="12"/>
        <color theme="1"/>
        <rFont val="Arial Narrow"/>
        <charset val="134"/>
      </rPr>
      <t>P I 1, Rua Tamoio, Av. Tupi, Rua Uruguaiana, Rua Marechal Deodoro, Rua General Osório, Rua Tiradentes, Rua Princesa Isabel, Rua Jaury S de Souza.</t>
    </r>
  </si>
  <si>
    <t>CARRO 03</t>
  </si>
  <si>
    <t>CARRO 04</t>
  </si>
  <si>
    <t>CARRO 05</t>
  </si>
  <si>
    <t>Linha 103 - Gralha Azul - Centro (via Alvorada)</t>
  </si>
  <si>
    <t>(Bairro Gralha Azul) Rua Jaury Heitor de Souza, Rua Riciere Pastori, Rua Marcelino Parzianello, Rua Princesa Isabel (Bairro Alvorada, Bairro Santo Antônio), Rua Tiradentes, Rua General Ozorio, Rua Marechal Deodoro, Rua Uruguaiana, Av. Tupi, Av. Brasil, Rua Xingú, Rua Tamoio, P I 2, Rua Ararigboia, Rua Tocantins, P I 4, Rua Jaciretã, Av. Tupi, Rua Tapir, Rua Caramuru, P I 1, Rua Tamoio, Av. Tupi, Rua Uruguaiana, Rua Marechal Deodoro, Rua General Ozorio, Rua Tiradentes, Rua Princesa Isabel (Bairro Santo Antônio, Bairro Alvorada), Rua Jaury Heitor de Souza (Bairro Gralha Azul).</t>
  </si>
  <si>
    <t>SEGUNDA-FEIRA À SEXTA</t>
  </si>
  <si>
    <t>P I 2                                              Ponto Casa do Artesão             (Rua Tamoio)</t>
  </si>
  <si>
    <t>Ponto Rua Tapir</t>
  </si>
  <si>
    <t>(Bairro Alvorada) Rua Princesa Isabel, Rua Tiradentes, Rua General Ozório, Rua Marechal Deodoro, Rua Curitiba, Rua dos Jasmins, Rua Bento Gonçalves, Rua Marechal Deodoro, Rua Uruguaiana, Av. Tupi, Av. Brasil, Rua Xingú, Rua Tamoio, P I 2, Rua Ararigbóia, Rua Tocantins, P I 4, Rua Jaciretã, Av. Tupi, Rua Tapir, Rua Caramuru, P I 1, Rua Tamoio, Av. Tupi, Rua Uruguaiana, Rua Marechal Deodoro, Rua General Ozório, Rua Tiradentes, Rua Princesa Isabel (Bairro Santo Antônio), Rua Osvaldo Cruz, Travessa Ipacaraí, Rua Castelo Branco (Bairro Alvorada).</t>
  </si>
  <si>
    <t xml:space="preserve">Bairro Alvorada </t>
  </si>
  <si>
    <r>
      <rPr>
        <sz val="12"/>
        <rFont val="Arial Narrow"/>
        <charset val="134"/>
      </rPr>
      <t xml:space="preserve">1. Na viagem das </t>
    </r>
    <r>
      <rPr>
        <b/>
        <u/>
        <sz val="12"/>
        <color rgb="FFFF0000"/>
        <rFont val="Arial Narrow"/>
        <charset val="134"/>
      </rPr>
      <t>20h55min</t>
    </r>
    <r>
      <rPr>
        <sz val="12"/>
        <rFont val="Arial Narrow"/>
        <charset val="134"/>
      </rPr>
      <t xml:space="preserve">, no sentido </t>
    </r>
    <r>
      <rPr>
        <b/>
        <u/>
        <sz val="12"/>
        <rFont val="Arial Narrow"/>
        <charset val="134"/>
      </rPr>
      <t>Bairro Gralha Azul - Centro</t>
    </r>
    <r>
      <rPr>
        <sz val="12"/>
        <rFont val="Arial Narrow"/>
        <charset val="134"/>
      </rPr>
      <t xml:space="preserve"> o intinerario e executado da seguinte forma, </t>
    </r>
    <r>
      <rPr>
        <b/>
        <u/>
        <sz val="12"/>
        <rFont val="Arial Narrow"/>
        <charset val="134"/>
      </rPr>
      <t>(Bairro Gralha Azul) Rua Jaury Heitor de Souza, Rua Ricieri Pastori, Rua Marcelino Parzianello, Rua das Flores, Marginal Av. Tupi, Av. Tupi, Av. Tupi, Av. Brasil, Rua Xingú, Rua Tamoio, P I 3.</t>
    </r>
  </si>
  <si>
    <r>
      <rPr>
        <sz val="12"/>
        <rFont val="Arial Narrow"/>
        <charset val="134"/>
      </rPr>
      <t xml:space="preserve">1. Executa o itinerário de segunda-feira a sábado até a viagem das </t>
    </r>
    <r>
      <rPr>
        <b/>
        <u/>
        <sz val="12"/>
        <color rgb="FFFF0000"/>
        <rFont val="Arial Narrow"/>
        <charset val="134"/>
      </rPr>
      <t>13h50min</t>
    </r>
    <r>
      <rPr>
        <sz val="12"/>
        <rFont val="Arial Narrow"/>
        <charset val="134"/>
      </rPr>
      <t xml:space="preserve"> e </t>
    </r>
    <r>
      <rPr>
        <b/>
        <u/>
        <sz val="12"/>
        <color rgb="FFFF0000"/>
        <rFont val="Arial Narrow"/>
        <charset val="134"/>
      </rPr>
      <t>14h15min.</t>
    </r>
  </si>
  <si>
    <r>
      <rPr>
        <sz val="12"/>
        <rFont val="Arial Narrow"/>
        <charset val="134"/>
      </rPr>
      <t xml:space="preserve">2. Retorna a partir das </t>
    </r>
    <r>
      <rPr>
        <b/>
        <u/>
        <sz val="12"/>
        <color rgb="FFFF0000"/>
        <rFont val="Arial Narrow"/>
        <charset val="134"/>
      </rPr>
      <t>16h00min</t>
    </r>
    <r>
      <rPr>
        <sz val="12"/>
        <rFont val="Arial Narrow"/>
        <charset val="134"/>
      </rPr>
      <t xml:space="preserve"> com atendimento somente até o Bairro Alvorada, incluido no seu itinerário o atendimento ao </t>
    </r>
    <r>
      <rPr>
        <b/>
        <u/>
        <sz val="12"/>
        <rFont val="Arial Narrow"/>
        <charset val="134"/>
      </rPr>
      <t>Bairro Veneza e Novo Horizonte.</t>
    </r>
  </si>
  <si>
    <t>Linha 105 - La Salle / Vila Isabel</t>
  </si>
  <si>
    <t xml:space="preserve">Rua Tapir, Rua Caramuru, Rua Tamoio, P I 2, Rua Ararigboia, (Bairro La Salle - Ponto em frente à TV), Rua Frei Sérgio Hillescheim, Rua Lídio Guerra, Rua André Borsoi, Rua Pioneiro Alberto Braun, Rua Itapuã, Rua Itacolomi,  Rua Tocantins, P I 4, Rua Tocantins, Rua Itabira, Rua José Vergílio Cantu,  Rua Tapir, Rua José Cattani, Rua Manoel Ribas, Rua Sílva Jardim, Av. das Torres, Rua Abel Bortot, Rua Tocantins, Rua Oswaldo Aranha, Avenida Tupi, Rua Tapir </t>
  </si>
  <si>
    <t>P I 2                                             Ponto Casa do Artesão            (Rua Tamoio</t>
  </si>
  <si>
    <t>Bairro La Salle</t>
  </si>
  <si>
    <t>P I 4                                                Ponto Pavilhão São Pedro</t>
  </si>
  <si>
    <t xml:space="preserve">Bairro Cadorin                         (Irmãs Teatinas) </t>
  </si>
  <si>
    <r>
      <rPr>
        <sz val="12"/>
        <rFont val="Arial Narrow"/>
        <charset val="134"/>
      </rPr>
      <t xml:space="preserve">1. É executado até a viagem das </t>
    </r>
    <r>
      <rPr>
        <b/>
        <u/>
        <sz val="12"/>
        <color rgb="FFFF0000"/>
        <rFont val="Arial Narrow"/>
        <charset val="134"/>
      </rPr>
      <t>12h45min.</t>
    </r>
  </si>
  <si>
    <t>Linha 107 - Veneza - UTFPR</t>
  </si>
  <si>
    <t xml:space="preserve">Rua Ângelo Gabriel, Rua dos Gerânios, Rua Curitiba, Rua dos Jasmins, Rua Jaci R Ferreira (Bairro Novo Horizonte), Rua Bento Gonçalves, Rua das Hortênsias,  Rua Antonio Ascari (Bairro Cristo Rei), Av. Tupi, Av. Brasil, Rua Xingú, Rua Tamoio, P I 3 (Antiga Rodoviária), Rua Ararigboia, Rua Tocantins, P I 4, Rua Jaciretã, Av. Tupi, Trevo Patinho,BR 158 Parque Industrial Teophilo Petrikoski, BR 158, PR-493, UTFPR, Rua Eliza Cola Padoan, Rua Irineu Parzianello, Rua Lidio Oltramari, Rua Benjamim Borges dos Santos, UNIDEP, PR-493, Trevo Patinho, Av. Tupi, Rua Tapir, Rua Caramuru, P I 1, Rua Tamoio, Av. Tupi, Rua Uruguaiana, Rua Marechal Deodoro, Rua Curitiba, Rua Ângelo Gabriel. </t>
  </si>
  <si>
    <t xml:space="preserve">SEGUNDA-FEIRA À SEXTA-FEIRA </t>
  </si>
  <si>
    <t>Bairro Veneza</t>
  </si>
  <si>
    <t>P I 3                                              Ponto Antiga Rodoviária            (Rua Tamoio)</t>
  </si>
  <si>
    <t>Trevo Patinho ( Três Cantos)</t>
  </si>
  <si>
    <t>P I 1                                              Ponto Casa do Artesão   (Rua Caramuru)</t>
  </si>
  <si>
    <t>Segunda à sexta-feira</t>
  </si>
  <si>
    <r>
      <rPr>
        <sz val="12"/>
        <rFont val="Arial Narrow"/>
        <charset val="134"/>
      </rPr>
      <t xml:space="preserve">1. O </t>
    </r>
    <r>
      <rPr>
        <b/>
        <sz val="10"/>
        <color theme="1"/>
        <rFont val="Arial Narrow"/>
        <charset val="134"/>
      </rPr>
      <t>Carro 03</t>
    </r>
    <r>
      <rPr>
        <sz val="10"/>
        <color theme="1"/>
        <rFont val="Arial Narrow"/>
        <charset val="134"/>
      </rPr>
      <t xml:space="preserve"> às </t>
    </r>
    <r>
      <rPr>
        <b/>
        <sz val="10"/>
        <color rgb="FFFF0000"/>
        <rFont val="Arial Narrow"/>
        <charset val="134"/>
      </rPr>
      <t>17h50min</t>
    </r>
    <r>
      <rPr>
        <sz val="10"/>
        <color theme="1"/>
        <rFont val="Arial Narrow"/>
        <charset val="134"/>
      </rPr>
      <t xml:space="preserve"> é executado de</t>
    </r>
    <r>
      <rPr>
        <b/>
        <sz val="10"/>
        <color theme="1"/>
        <rFont val="Arial Narrow"/>
        <charset val="134"/>
      </rPr>
      <t xml:space="preserve"> </t>
    </r>
    <r>
      <rPr>
        <b/>
        <u/>
        <sz val="10"/>
        <color theme="1"/>
        <rFont val="Arial Narrow"/>
        <charset val="134"/>
      </rPr>
      <t>segunda-feira à sexta-feira</t>
    </r>
    <r>
      <rPr>
        <b/>
        <sz val="10"/>
        <color theme="1"/>
        <rFont val="Arial Narrow"/>
        <charset val="134"/>
      </rPr>
      <t xml:space="preserve"> </t>
    </r>
    <r>
      <rPr>
        <sz val="10"/>
        <color theme="1"/>
        <rFont val="Arial Narrow"/>
        <charset val="134"/>
      </rPr>
      <t xml:space="preserve">com o seguinte itinerário: </t>
    </r>
    <r>
      <rPr>
        <b/>
        <u/>
        <sz val="10"/>
        <color theme="1"/>
        <rFont val="Arial Narrow"/>
        <charset val="134"/>
      </rPr>
      <t>Três Cantos, PR 493, Trevo do Patinho, Av. Tupi, Rua Tapir, Rua Caramuru, P I 1, Rua Tamoio, Av. Tupi, Rua Uruguaiana, Rua Marechal Deodoro, Rua Curitiba, Rua Ângelo Gabriel,  Rua dos Gerânios, Rua Curitiba, Rua dos Jasmins, Rua Bento Gonçalves, Rua das Violetas, Rua Uruguaiana, Rua Fernando Ferrari, Rua Anchieta, Rua Fernando Ferrari, Rua Dr. Beltrão, Avenida Tupi, Avenida Brasil, Rua Xingu, Rua Tamoio PI3.</t>
    </r>
  </si>
  <si>
    <t>Sábados</t>
  </si>
  <si>
    <r>
      <rPr>
        <sz val="12"/>
        <rFont val="Arial Narrow"/>
        <charset val="134"/>
      </rPr>
      <t xml:space="preserve">1. Para nas viagens das </t>
    </r>
    <r>
      <rPr>
        <b/>
        <u/>
        <sz val="12"/>
        <color rgb="FFFF0000"/>
        <rFont val="Arial Narrow"/>
        <charset val="134"/>
      </rPr>
      <t>14h00min</t>
    </r>
    <r>
      <rPr>
        <sz val="12"/>
        <rFont val="Arial Narrow"/>
        <charset val="134"/>
      </rPr>
      <t xml:space="preserve"> e </t>
    </r>
    <r>
      <rPr>
        <b/>
        <u/>
        <sz val="12"/>
        <color rgb="FFFF0000"/>
        <rFont val="Arial Narrow"/>
        <charset val="134"/>
      </rPr>
      <t>14h05min.</t>
    </r>
  </si>
  <si>
    <r>
      <rPr>
        <sz val="12"/>
        <rFont val="Arial Narrow"/>
        <charset val="134"/>
      </rPr>
      <t xml:space="preserve">2. A partir das </t>
    </r>
    <r>
      <rPr>
        <b/>
        <u/>
        <sz val="12"/>
        <color rgb="FFFF0000"/>
        <rFont val="Arial Narrow"/>
        <charset val="134"/>
      </rPr>
      <t>16h00min</t>
    </r>
    <r>
      <rPr>
        <sz val="12"/>
        <rFont val="Arial Narrow"/>
        <charset val="134"/>
      </rPr>
      <t xml:space="preserve"> o atendimento é realizado pela Linha 103.</t>
    </r>
  </si>
  <si>
    <t/>
  </si>
  <si>
    <t>Linha 108  - Gralha Azul - Centro (via Bonato)</t>
  </si>
  <si>
    <t>(Bairro Gralha Azul), Rua Princesa Isabel, Rua Eduardo Dagios, Rua Jandir Peruzzo, Rua Jaury Heitor de Souza, Rua Ricieri Pastori, Rua Marcelino Parzianello, Rua Princesa Isabel, (Bairro Alvorada, Bairro Santo Antônio),  Rua Gonçalves Dias, (Bairro Sudoeste), Rua Itá, Rua Tiradentes, Rua Ivá, Rua São José, Rua Curitiba, (Bairro Veneza, Bairro Novo Horizonte), Rua das Violetas, Rua Angelo Dal Bosco, Rua Fernando Ferrari, (Bairro Bonatto), Rua Anchieta, Rua Fernando Ferrari, Rua Industrial, Rua Santa Fé, Rua Dr. Francisco Beltrão, (Bairro Industrial), Rua Tocantins, Rua Itacolomi, Rua Tamoio, P I 2, Rua Ararigboia, Rua Tocantins, P I 4, Rua Iguaçu, Rua Aimoré, Rua Itacolomi, Rua Tocantins, Rua Dr. Francisco Beltrão, (Bairro Industrial), Rua Santa Fé, Rua Industrial, Rua Fernando Ferrari, Rua Anchieta, Rua Fernando Ferrari, (Bairro Bonatto), Rua Angelo Dal Bosco, Rua das Violetas (Bairro Veneza, Bairro Novo Horizonte), Rua Curitiba, Rua São José, Rua Ivá (Bairro Sudoeste Bairro Santo Antônio), Rua Tiradentes, Rua Itá, Rua Gonçalves Dias, Rua Princesa Isabel, (Bairro Alvorada), Rua Eduardo Dagios, (Bairro Gralha Azul).</t>
  </si>
  <si>
    <t xml:space="preserve">SEGUNDA-FEIRA À SEXTA </t>
  </si>
  <si>
    <t>P I 2 Ponto Casa do Artesão (Rua Tamoio)</t>
  </si>
  <si>
    <r>
      <rPr>
        <sz val="12"/>
        <rFont val="Arial Narrow"/>
        <charset val="134"/>
      </rPr>
      <t xml:space="preserve">1. No itinerário das </t>
    </r>
    <r>
      <rPr>
        <b/>
        <u/>
        <sz val="12"/>
        <color rgb="FFFF0000"/>
        <rFont val="Arial Narrow"/>
        <charset val="134"/>
      </rPr>
      <t>07h50min, 12h00min e 16h30min</t>
    </r>
    <r>
      <rPr>
        <sz val="12"/>
        <rFont val="Arial Narrow"/>
        <charset val="134"/>
      </rPr>
      <t xml:space="preserve"> no sentido </t>
    </r>
    <r>
      <rPr>
        <b/>
        <u/>
        <sz val="12"/>
        <rFont val="Arial Narrow"/>
        <charset val="134"/>
      </rPr>
      <t>PI2 (Casa do Artesão) - Bairro Gralha Azul</t>
    </r>
    <r>
      <rPr>
        <sz val="12"/>
        <rFont val="Arial Narrow"/>
        <charset val="134"/>
      </rPr>
      <t xml:space="preserve"> inclui-se ao intinerário a </t>
    </r>
    <r>
      <rPr>
        <b/>
        <u/>
        <sz val="12"/>
        <rFont val="Arial Narrow"/>
        <charset val="134"/>
      </rPr>
      <t>Rua Sebastião Lara, Rua Altamira e Rua Antônio Pedro Ferronaro.</t>
    </r>
  </si>
  <si>
    <r>
      <rPr>
        <sz val="12"/>
        <rFont val="Arial Narrow"/>
        <charset val="134"/>
      </rPr>
      <t xml:space="preserve">1. No itinerário das </t>
    </r>
    <r>
      <rPr>
        <b/>
        <u/>
        <sz val="12"/>
        <color rgb="FFFF0000"/>
        <rFont val="Arial Narrow"/>
        <charset val="134"/>
      </rPr>
      <t>08h20min, 13h00min e 17h00min</t>
    </r>
    <r>
      <rPr>
        <sz val="12"/>
        <rFont val="Arial Narrow"/>
        <charset val="134"/>
      </rPr>
      <t xml:space="preserve"> no sentido </t>
    </r>
    <r>
      <rPr>
        <b/>
        <u/>
        <sz val="12"/>
        <rFont val="Arial Narrow"/>
        <charset val="134"/>
      </rPr>
      <t>Bairro Gralha Azul - PI2 (Casa do Artesão)</t>
    </r>
    <r>
      <rPr>
        <sz val="12"/>
        <rFont val="Arial Narrow"/>
        <charset val="134"/>
      </rPr>
      <t xml:space="preserve"> inclui-se ao intinerário a </t>
    </r>
    <r>
      <rPr>
        <b/>
        <u/>
        <sz val="12"/>
        <rFont val="Arial Narrow"/>
        <charset val="134"/>
      </rPr>
      <t>Rua Antônio Pedro Ferronaro, Rua Altamira e Sebastião Lara.</t>
    </r>
  </si>
  <si>
    <r>
      <rPr>
        <sz val="12"/>
        <rFont val="Arial Narrow"/>
        <charset val="134"/>
      </rPr>
      <t xml:space="preserve">1. É executado até às </t>
    </r>
    <r>
      <rPr>
        <b/>
        <u/>
        <sz val="12"/>
        <color rgb="FFFF0000"/>
        <rFont val="Arial Narrow"/>
        <charset val="134"/>
      </rPr>
      <t>13h30min.</t>
    </r>
  </si>
  <si>
    <t>Linha 109 - Passo da Pedra</t>
  </si>
  <si>
    <t>P I 3, Rua Tamoio, Rua Ararigbóia, Rua Tocantins, P I 4, Rua Jaciretã, Av. Tupi, Trevo Patinho, PR-493, Bairro Passo da Pedra, PR-493, Trevo Patinho, Av. Tupi, Rua Tapir, Rua Caramuru, Rua Itacolomi, Rua Tamoio, P I 3.</t>
  </si>
  <si>
    <t>P I 3                                                                   Ponto Antiga Rodoviária</t>
  </si>
  <si>
    <t>P I 4                                                                   Ponto Pavilhão São Pedro</t>
  </si>
  <si>
    <t>VIBRA</t>
  </si>
  <si>
    <t>Passo da Pedra</t>
  </si>
  <si>
    <t>Trevo do Patinho            (Três Cantos)</t>
  </si>
  <si>
    <t xml:space="preserve"> Linha 110 - São Cristovão - Rodoviária</t>
  </si>
  <si>
    <t>(Bairro São Cristóvão), Marginal Av. Tupi, Rua Alexandre Gusmão, Rua da Inconfidência, Rua Luiz Xavier, Rua Manoel Bandeira, Rua Vinte e Um de Abril, Rua Érico Verissimo, Rua Papa João XXIII, Rua Manoel Bandeira, Rua Antônio Garcês, Rua R. da República, Av. Tupi, Av. Brasil, Rua Xingu, Rua Tamoio, PI 2, Rua Iguaçu, Rua Guarani, Rua Farrapos,  Av. Brasil (Ponto Rodoviária), Trevo Taísa, Rua Nereu Ramos, Rua Caramuru, P I 1, Av. Tupi, Marginal da Av. Tupi, (Bairro São Cristóvão).</t>
  </si>
  <si>
    <r>
      <rPr>
        <b/>
        <u/>
        <sz val="14"/>
        <color theme="1"/>
        <rFont val="Arial Narrow"/>
        <charset val="134"/>
      </rPr>
      <t xml:space="preserve">SEGUNDA-FEIRA À </t>
    </r>
    <r>
      <rPr>
        <b/>
        <u/>
        <sz val="14"/>
        <rFont val="Arial Narrow"/>
        <charset val="134"/>
      </rPr>
      <t>SEXTA-FEIRA</t>
    </r>
  </si>
  <si>
    <t>Bairro São Cristovão</t>
  </si>
  <si>
    <t>Ponto Rodoviária</t>
  </si>
  <si>
    <t>05 MIN A MAIS DO BAIRRO / CENTRO A PARTIR 2025</t>
  </si>
  <si>
    <r>
      <rPr>
        <sz val="12"/>
        <rFont val="Arial Narrow"/>
        <charset val="134"/>
      </rPr>
      <t xml:space="preserve">1. No horário das </t>
    </r>
    <r>
      <rPr>
        <b/>
        <u/>
        <sz val="12"/>
        <color rgb="FFFF0000"/>
        <rFont val="Arial Narrow"/>
        <charset val="134"/>
      </rPr>
      <t>12h30min</t>
    </r>
    <r>
      <rPr>
        <sz val="12"/>
        <rFont val="Arial Narrow"/>
        <charset val="134"/>
      </rPr>
      <t xml:space="preserve"> retorna para o início do Bairro São Cristóvão e aguarda para sair às </t>
    </r>
    <r>
      <rPr>
        <b/>
        <u/>
        <sz val="12"/>
        <color rgb="FFFF0000"/>
        <rFont val="Arial Narrow"/>
        <charset val="134"/>
      </rPr>
      <t>12h55min.</t>
    </r>
  </si>
  <si>
    <r>
      <rPr>
        <sz val="12"/>
        <rFont val="Arial Narrow"/>
        <charset val="134"/>
      </rPr>
      <t xml:space="preserve">2. Na viagem das </t>
    </r>
    <r>
      <rPr>
        <b/>
        <u/>
        <sz val="12"/>
        <color rgb="FFFF0000"/>
        <rFont val="Arial Narrow"/>
        <charset val="134"/>
      </rPr>
      <t>16h55min</t>
    </r>
    <r>
      <rPr>
        <sz val="12"/>
        <rFont val="Arial Narrow"/>
        <charset val="134"/>
      </rPr>
      <t xml:space="preserve"> sentido </t>
    </r>
    <r>
      <rPr>
        <b/>
        <u/>
        <sz val="12"/>
        <rFont val="Arial Narrow"/>
        <charset val="134"/>
      </rPr>
      <t>Bairro São Cristovão - Ponto da Rodoviaria</t>
    </r>
    <r>
      <rPr>
        <sz val="12"/>
        <rFont val="Arial Narrow"/>
        <charset val="134"/>
      </rPr>
      <t xml:space="preserve">, o intinerario executado será </t>
    </r>
    <r>
      <rPr>
        <b/>
        <u/>
        <sz val="12"/>
        <rFont val="Arial Narrow"/>
        <charset val="134"/>
      </rPr>
      <t>(Bairro São Cristóvão), Marginal Av. Tupi, Rua Alexandre Gusmão, Rua da Inconfidência, Rua Luiz Xavier, Rua Manoel Bandeira, Rua Vinte e Um de Abril, Rua Érico Verissimo, Rua Papa João XXIII, Av. Tupi, Av. Brasil, Rua Xingu, Rua Tamoio, PI 2, Rua Ararigboia, Rua Tocantins, P I 4, Rua Jaciretã, Av. Tupi, Trevo do Patinho, BR 158, Parque Industrial Theophilo Petrikoski,</t>
    </r>
    <r>
      <rPr>
        <sz val="12"/>
        <rFont val="Arial Narrow"/>
        <charset val="134"/>
      </rPr>
      <t xml:space="preserve"> com chegada as </t>
    </r>
    <r>
      <rPr>
        <b/>
        <u/>
        <sz val="12"/>
        <color rgb="FFFF0000"/>
        <rFont val="Arial Narrow"/>
        <charset val="134"/>
      </rPr>
      <t>17h50min</t>
    </r>
    <r>
      <rPr>
        <sz val="12"/>
        <rFont val="Arial Narrow"/>
        <charset val="134"/>
      </rPr>
      <t>.</t>
    </r>
  </si>
  <si>
    <r>
      <rPr>
        <sz val="12"/>
        <rFont val="Arial Narrow"/>
        <charset val="134"/>
      </rPr>
      <t xml:space="preserve">2. Na viagem das </t>
    </r>
    <r>
      <rPr>
        <b/>
        <u/>
        <sz val="12"/>
        <color rgb="FFFF0000"/>
        <rFont val="Arial Narrow"/>
        <charset val="134"/>
      </rPr>
      <t>17h20min</t>
    </r>
    <r>
      <rPr>
        <sz val="12"/>
        <rFont val="Arial Narrow"/>
        <charset val="134"/>
      </rPr>
      <t xml:space="preserve"> sentido </t>
    </r>
    <r>
      <rPr>
        <b/>
        <u/>
        <sz val="12"/>
        <rFont val="Arial Narrow"/>
        <charset val="134"/>
      </rPr>
      <t>Ponto da Rodoviaria</t>
    </r>
    <r>
      <rPr>
        <sz val="12"/>
        <rFont val="Arial Narrow"/>
        <charset val="134"/>
      </rPr>
      <t>, o intinerario executado será</t>
    </r>
    <r>
      <rPr>
        <b/>
        <u/>
        <sz val="12"/>
        <rFont val="Arial Narrow"/>
        <charset val="134"/>
      </rPr>
      <t>,  PI 2, Rua Iguaçu, Rua Guarani, Rua Farrapos,  Av. Brasil , ponto rodoviária, Avenida Brasil, Trevo da Taísa, Marginal Av. Frei policarpo, Av. Frei Policarpo, Parque Industrial Theophilo Petrikoski (</t>
    </r>
    <r>
      <rPr>
        <sz val="12"/>
        <rFont val="Arial Narrow"/>
        <charset val="134"/>
      </rPr>
      <t xml:space="preserve">com chegada as </t>
    </r>
    <r>
      <rPr>
        <b/>
        <u/>
        <sz val="12"/>
        <color rgb="FFFF0000"/>
        <rFont val="Arial Narrow"/>
        <charset val="134"/>
      </rPr>
      <t xml:space="preserve">17h50min) </t>
    </r>
    <r>
      <rPr>
        <b/>
        <u/>
        <sz val="12"/>
        <rFont val="Arial Narrow"/>
        <charset val="134"/>
      </rPr>
      <t>, Av. Frei Policarpo, Trevo Patinho, Trevo Taísa, Marginal da Av. Frei Policarpo, Rua Paraná, Rua Farrapos, Avenida Brasil, ponto rodoviária</t>
    </r>
  </si>
  <si>
    <r>
      <rPr>
        <sz val="12"/>
        <rFont val="Arial Narrow"/>
        <charset val="134"/>
      </rPr>
      <t xml:space="preserve">1. Para na viagem das </t>
    </r>
    <r>
      <rPr>
        <b/>
        <u/>
        <sz val="12"/>
        <color rgb="FFFF0000"/>
        <rFont val="Arial Narrow"/>
        <charset val="134"/>
      </rPr>
      <t>13h30min.</t>
    </r>
  </si>
  <si>
    <t xml:space="preserve"> Linha 111 - Fraron - UTFPR - Centro</t>
  </si>
  <si>
    <t>UTFPR, Av. Elisa Rosa Cola Padoan, Rua Irineu Parzianello, Rua Lídio Oltramari, Rua Angela Parzianello, Rua Vitélio Parzianello, Rua Benjamim Borges dos Santos, Rua Lídio Oltramari, Rua Clevelândia, Rua José Tato, Rua Martins Afonso de Souza, Rua Cristóvão Colombo, Rua José Dalmolin, Marginal da BR 158, Semafaro,  Rua Paraná, Rua Farrapos, Rua Farrapos, Avenida Brasil (Ponto Rodoviária), Marginal BR 158, Rua Caramuru, Rua Tamoio, P I 3, Rua Ararigbóia, Rua Tocantins, Rua Jaciretã, Av. Tupi, PR 493, UTFPR.</t>
  </si>
  <si>
    <t>UTFPR / Bairro Fraron</t>
  </si>
  <si>
    <t>P I 2 - Ponto Casa do Artesão</t>
  </si>
  <si>
    <r>
      <rPr>
        <sz val="12"/>
        <rFont val="Arial Narrow"/>
        <charset val="134"/>
      </rPr>
      <t xml:space="preserve">1. No horário das </t>
    </r>
    <r>
      <rPr>
        <b/>
        <u/>
        <sz val="12"/>
        <color rgb="FFFF0000"/>
        <rFont val="Arial Narrow"/>
        <charset val="134"/>
      </rPr>
      <t>12h20min</t>
    </r>
    <r>
      <rPr>
        <sz val="12"/>
        <rFont val="Arial Narrow"/>
        <charset val="134"/>
      </rPr>
      <t xml:space="preserve"> retorna para UTFPR e aguarda para sair às </t>
    </r>
    <r>
      <rPr>
        <b/>
        <u/>
        <sz val="12"/>
        <color rgb="FFFF0000"/>
        <rFont val="Arial Narrow"/>
        <charset val="134"/>
      </rPr>
      <t>13h00min.</t>
    </r>
  </si>
  <si>
    <r>
      <rPr>
        <sz val="12"/>
        <rFont val="Arial Narrow"/>
        <charset val="134"/>
      </rPr>
      <t>2. Nos horários das</t>
    </r>
    <r>
      <rPr>
        <b/>
        <u/>
        <sz val="12"/>
        <color rgb="FFFF0000"/>
        <rFont val="Arial Narrow"/>
        <charset val="134"/>
      </rPr>
      <t xml:space="preserve"> 06h25min, 13h00min e 17h25min </t>
    </r>
    <r>
      <rPr>
        <sz val="12"/>
        <rFont val="Arial Narrow"/>
        <charset val="134"/>
      </rPr>
      <t>no sentido UTFPR  - PI3, é realizado o seguinte itinerário: UTFPR, Av. Elisa Rosa Cola Padoan, Rua Irineu Parzianello, Rua Lídio Oltramari,</t>
    </r>
    <r>
      <rPr>
        <b/>
        <u/>
        <sz val="12"/>
        <rFont val="Arial Narrow"/>
        <charset val="134"/>
      </rPr>
      <t xml:space="preserve"> Rua Augusto Redivo, Rua Nelza Mazzuco Braun, Rua Hugo Luiz Scatezini</t>
    </r>
    <r>
      <rPr>
        <sz val="12"/>
        <rFont val="Arial Narrow"/>
        <charset val="134"/>
      </rPr>
      <t>, Rua Lidio Oltramari, Rua Angela Parzianello, Rua Vitélio Parzianello, Rua Benjamim Borges dos Santos, Rua Lídio Oltramari,</t>
    </r>
    <r>
      <rPr>
        <b/>
        <u/>
        <sz val="12"/>
        <rFont val="Arial Narrow"/>
        <charset val="134"/>
      </rPr>
      <t xml:space="preserve"> Rua José Fraron, Rua Belmiro Michelin, Rua Elvira Gruber Weber, Rua José Mezzomo, Rua Orestes Armando Bertinato, Rua Belmiro Michelin, Rua José Faron</t>
    </r>
    <r>
      <rPr>
        <sz val="12"/>
        <rFont val="Arial Narrow"/>
        <charset val="134"/>
      </rPr>
      <t>, Lídio Oltramari, Rua Clevelândia, rota normal.</t>
    </r>
  </si>
  <si>
    <r>
      <rPr>
        <sz val="12"/>
        <rFont val="Arial Narrow"/>
        <charset val="134"/>
      </rPr>
      <t xml:space="preserve">1. É executado até às </t>
    </r>
    <r>
      <rPr>
        <b/>
        <u/>
        <sz val="12"/>
        <color rgb="FFFF0000"/>
        <rFont val="Arial Narrow"/>
        <charset val="134"/>
      </rPr>
      <t>08h30min.</t>
    </r>
  </si>
  <si>
    <t>Linha 112 - Planalto - Centro (via Rua Xingú)</t>
  </si>
  <si>
    <t>(Bairro Planalro), Rua Maracanã, Rua das Araras, Rua das Garças, Rua dos Cardeais, Rua  Rua das Siriemas, Trevo Planalto, Marginal BR-158, Trevo Itacolomi, Rua Itacolomi, Rua Ubiratã, Rua Xingu, Rua Tamoio, P I 2, Rua Ararigbóia, Rua Tocantins, Rua Jaciretã, Av. Tupi, Rua Tapir, Rua Caramuru, P I 2, Rua Tamoio, Rua Itacolomi, Trevo Itacolomi, Marginal BR-158, Rua Maracanã.</t>
  </si>
  <si>
    <t>Bairro Planalto (Rua Maracanã)</t>
  </si>
  <si>
    <t>P I 2 - Ponto Casa do Artesão (Rua Tamoio)</t>
  </si>
  <si>
    <t>ATRASADO 10 MIN NO HORÁRIO 14-04-25</t>
  </si>
  <si>
    <t xml:space="preserve">Segunda Feira a Sexta -Feira </t>
  </si>
  <si>
    <r>
      <rPr>
        <sz val="12"/>
        <rFont val="Arial Narrow"/>
        <charset val="134"/>
      </rPr>
      <t xml:space="preserve">1. Na viagem das </t>
    </r>
    <r>
      <rPr>
        <b/>
        <u/>
        <sz val="12"/>
        <color rgb="FFFF0000"/>
        <rFont val="Arial Narrow"/>
        <charset val="134"/>
      </rPr>
      <t xml:space="preserve">07h25min </t>
    </r>
    <r>
      <rPr>
        <sz val="12"/>
        <rFont val="Arial Narrow"/>
        <charset val="134"/>
      </rPr>
      <t xml:space="preserve"> no sentido Bairro Planalto (Rua Maracanã) - P I 2, é realizado com o seguinte itinerário: </t>
    </r>
    <r>
      <rPr>
        <b/>
        <u/>
        <sz val="12"/>
        <rFont val="Arial Narrow"/>
        <charset val="134"/>
      </rPr>
      <t>Rua Maracanã, Rua das Araras, Rua das Garças, Rua dos Cardeais, Rua das Siriemas, Marginal da BR-158, Trevo da Guepardo, BR-158.</t>
    </r>
  </si>
  <si>
    <r>
      <rPr>
        <sz val="12"/>
        <rFont val="Arial Narrow"/>
        <charset val="134"/>
      </rPr>
      <t>2. Na viagem das</t>
    </r>
    <r>
      <rPr>
        <b/>
        <u/>
        <sz val="12"/>
        <rFont val="Arial Narrow"/>
        <charset val="134"/>
      </rPr>
      <t xml:space="preserve"> </t>
    </r>
    <r>
      <rPr>
        <b/>
        <u/>
        <sz val="12"/>
        <color rgb="FFFF0000"/>
        <rFont val="Arial Narrow"/>
        <charset val="134"/>
      </rPr>
      <t>17h30min</t>
    </r>
    <r>
      <rPr>
        <sz val="12"/>
        <rFont val="Arial Narrow"/>
        <charset val="134"/>
      </rPr>
      <t xml:space="preserve"> no sentido Bairro Planalto (Rua Maracanã) - P I 2, é realizado com o seguinte itinerário:</t>
    </r>
    <r>
      <rPr>
        <b/>
        <u/>
        <sz val="12"/>
        <rFont val="Arial Narrow"/>
        <charset val="134"/>
      </rPr>
      <t xml:space="preserve"> Rua Maracanã, Rua das Araras, Rua das Garças, Rua dos Cardeais, Rua das Siriemas, Marginal da BR-158, Rua Pioneiro Avelino Ardoino Chiochetta, Travessa Ademar Cantu, Rua Maria Daminellu Marini, Marginal da BR-158, Trevo da Guepardo, BR-158</t>
    </r>
    <r>
      <rPr>
        <sz val="12"/>
        <rFont val="Arial Narrow"/>
        <charset val="134"/>
      </rPr>
      <t>.</t>
    </r>
  </si>
  <si>
    <r>
      <rPr>
        <sz val="12"/>
        <rFont val="Arial Narrow"/>
        <charset val="134"/>
      </rPr>
      <t xml:space="preserve">3. Na Viagem das </t>
    </r>
    <r>
      <rPr>
        <b/>
        <u/>
        <sz val="12"/>
        <color rgb="FFFF0000"/>
        <rFont val="Arial Narrow"/>
        <charset val="134"/>
      </rPr>
      <t>21h15min</t>
    </r>
    <r>
      <rPr>
        <sz val="12"/>
        <rFont val="Arial Narrow"/>
        <charset val="134"/>
      </rPr>
      <t xml:space="preserve"> no sentindo</t>
    </r>
    <r>
      <rPr>
        <b/>
        <u/>
        <sz val="12"/>
        <rFont val="Arial Narrow"/>
        <charset val="134"/>
      </rPr>
      <t xml:space="preserve"> PI2 - Rua Tapir,</t>
    </r>
    <r>
      <rPr>
        <sz val="12"/>
        <rFont val="Arial Narrow"/>
        <charset val="134"/>
      </rPr>
      <t xml:space="preserve"> é realizado com o seguinte itinerário: </t>
    </r>
    <r>
      <rPr>
        <b/>
        <u/>
        <sz val="12"/>
        <rFont val="Arial Narrow"/>
        <charset val="134"/>
      </rPr>
      <t>P I 2, Rua Ararigbóia, Rua Tocantins, Rua Jaciretã, Av. Tupi, Rotatória do Anjo, Av. Tupi, Rua Tapir, Rua Caramuru, Rua Tamoio, PI2.</t>
    </r>
  </si>
  <si>
    <r>
      <rPr>
        <sz val="12"/>
        <rFont val="Arial Narrow"/>
        <charset val="134"/>
      </rPr>
      <t xml:space="preserve">4. Nas Viagens das </t>
    </r>
    <r>
      <rPr>
        <b/>
        <u/>
        <sz val="12"/>
        <color rgb="FFFF0000"/>
        <rFont val="Arial Narrow"/>
        <charset val="134"/>
      </rPr>
      <t>22h40min e 23h30min</t>
    </r>
    <r>
      <rPr>
        <sz val="12"/>
        <rFont val="Arial Narrow"/>
        <charset val="134"/>
      </rPr>
      <t xml:space="preserve"> no sentindo </t>
    </r>
    <r>
      <rPr>
        <b/>
        <u/>
        <sz val="12"/>
        <rFont val="Arial Narrow"/>
        <charset val="134"/>
      </rPr>
      <t>Rua Tapir - Bairro Planalto,</t>
    </r>
    <r>
      <rPr>
        <sz val="12"/>
        <rFont val="Arial Narrow"/>
        <charset val="134"/>
      </rPr>
      <t xml:space="preserve"> é realizado com o seguinte itinerário:  </t>
    </r>
    <r>
      <rPr>
        <b/>
        <u/>
        <sz val="12"/>
        <rFont val="Arial Narrow"/>
        <charset val="134"/>
      </rPr>
      <t>Rua Tapir, Rua Caramuru, PI 2, Rua Tamoio, Rua Itacolomi, Trevo Itacolomi, Marginal BR-158, Rua Édimo Belmiro Pastro.</t>
    </r>
    <r>
      <rPr>
        <sz val="12"/>
        <rFont val="Arial Narrow"/>
        <charset val="134"/>
      </rPr>
      <t xml:space="preserve"> </t>
    </r>
  </si>
  <si>
    <r>
      <rPr>
        <sz val="12"/>
        <rFont val="Arial Narrow"/>
        <charset val="134"/>
      </rPr>
      <t xml:space="preserve">5. Nas Viagens das </t>
    </r>
    <r>
      <rPr>
        <b/>
        <u/>
        <sz val="12"/>
        <color rgb="FFFF0000"/>
        <rFont val="Arial Narrow"/>
        <charset val="134"/>
      </rPr>
      <t>23h00min e 23h50min</t>
    </r>
    <r>
      <rPr>
        <sz val="12"/>
        <rFont val="Arial Narrow"/>
        <charset val="134"/>
      </rPr>
      <t xml:space="preserve"> no sentindo </t>
    </r>
    <r>
      <rPr>
        <b/>
        <u/>
        <sz val="12"/>
        <rFont val="Arial Narrow"/>
        <charset val="134"/>
      </rPr>
      <t>Bairro Planalto - Rua Tapir</t>
    </r>
    <r>
      <rPr>
        <sz val="12"/>
        <rFont val="Arial Narrow"/>
        <charset val="134"/>
      </rPr>
      <t xml:space="preserve"> , é realizado com o seguinte itinerário:  </t>
    </r>
    <r>
      <rPr>
        <b/>
        <u/>
        <sz val="12"/>
        <rFont val="Arial Narrow"/>
        <charset val="134"/>
      </rPr>
      <t>Rua Édimo Belmiro Pastro (Bairro Bela Vista e Planalto), Rua das Andorinhas, (Bairro Paulo Afonso)Rua Aurea Zandona, Rua Augusto Saggin, Rua Abilio Parzianello, Rua Das Andorinhas,  Rua das Garças, Rua dos Cardeais, (bairro Alto da Glória) Rua Mohamad Homar Awada, (Bairro São João, Bairro Vila São Pedro),  Rua Clarice Recalcati, Rua Sadi Bertol, Rua Clarice Recalcati, Rua Mohamad Homar Awada, Rua dos Cardeais, Rua das Seriemas, Trevo Planalto, Marginal BR-158, Trevo Itacolomi, Rua Itacolomi, Rua Ubiratã, Rua Xingu, Rua Tamoio,  P I 2, Rua Ararigbóia, Rua Tocantins, Rua Jaciretã, Av. Tupi, Rua Tapir</t>
    </r>
  </si>
  <si>
    <r>
      <rPr>
        <sz val="12"/>
        <rFont val="Arial Narrow"/>
        <charset val="134"/>
      </rPr>
      <t xml:space="preserve">1. É executada até a viagem das </t>
    </r>
    <r>
      <rPr>
        <b/>
        <u/>
        <sz val="12"/>
        <color rgb="FFFF0000"/>
        <rFont val="Arial Narrow"/>
        <charset val="134"/>
      </rPr>
      <t>13h25min.</t>
    </r>
  </si>
  <si>
    <t>TERMINA A VIAGEM NO PI2</t>
  </si>
  <si>
    <r>
      <rPr>
        <sz val="12"/>
        <rFont val="Arial Narrow"/>
        <charset val="134"/>
      </rPr>
      <t xml:space="preserve">2. A partir das </t>
    </r>
    <r>
      <rPr>
        <b/>
        <u/>
        <sz val="12"/>
        <color rgb="FFFF0000"/>
        <rFont val="Arial Narrow"/>
        <charset val="134"/>
      </rPr>
      <t>16h00min</t>
    </r>
    <r>
      <rPr>
        <sz val="12"/>
        <rFont val="Arial Narrow"/>
        <charset val="134"/>
      </rPr>
      <t xml:space="preserve"> é atendido pela Linha 113 - São João - Bela Vista - Paulo Afonso.</t>
    </r>
  </si>
  <si>
    <t>Linha 113 - SÃO JOÃO - BELA VISTA - PAULO AFONSO</t>
  </si>
  <si>
    <t>(Bairro São João), Rua Eugênio Pezarico, Rua Sadi Bertuol, Rua Clarice Recalcati, Rua Mohamad Homar Awada, Rua dos Cardeais (Bairro Planalto), Rua São Francisco de Assis, Rua Beija Flor, Rua Édimo Pastro, Rua das Andorinhas, Rua Aurea Zandoná, Rua Augusto Saggin, Rua Abílio Parzianello, Rua das Andorinhas, Rua Édimo Belmiro Pastro, Marginal BR 158, Br 158, Trevo Itacolomi, Rua Itacolomi, Rua Ubiratã, Rua Xingu, Rua Tamoio, P I 2, Rua Itabira, Rua Caramuru, (Ponto do Correio), Rua Tamoio, P I 2 (Casa do Artesão), Rua Itacolomi, Trevo Itacolomi, Marginal BR-158, Rua Arquimedes Gobato, Rua Pedro Luiz Tavares, Rua Édimo Belmiro Pastro, Rua das Andorinhas, Rua Aurea Zandoná, Rua Augusto Saggin, Rua Abílio Parzianello, Rua das Andorinhas, Rua Édimo Belmiro Pastro, Rua Beija Flor, Rua São Francisco de Assis, Rua dos Cardeais, Rua Mohamad Homar Awada, Rua Eugênio Pezarico.</t>
  </si>
  <si>
    <t xml:space="preserve">Bairro São João                            (Rua Clarice Recalcati) </t>
  </si>
  <si>
    <t>Bairro Planalto                 (Rua das Siriemas)</t>
  </si>
  <si>
    <t>Bairro Bela Vista                    (Rua Édimo Belmiro Pastro)</t>
  </si>
  <si>
    <t>Ponto Correio                          (Rua Caramuru)</t>
  </si>
  <si>
    <t>P I 2                                                                                       Ponto Casa do Artesão                             (Rua Tamoio)</t>
  </si>
  <si>
    <t>Linha 113 - PLANALTO - SÃO JOÃO - BELA VISTA - PAULO AFONSO</t>
  </si>
  <si>
    <t>(Bairro Bela Vista e Bairro Planalto), Rua Édimo Belmiro Pastro, Rua das Andorinhas, (Bairro Paulo Afonso), Rua Aurea Zandoná, Rua Augusto Saggin, Rua Abílio Parzianello, Rua das Andorinhas,  Rua das Garças, Rua dos Cardeais, (Bairro Alto da Glória), Rua Mohamad Homar Awada, (Bairro São João, Bairro Vila São Pedro), Rua Eugênio Pezarico, Rua Sadi Bertol, Rua Clarice Recalcati, Rua Mohamad Homar Awada, Rua dos Cardeais, Rua das Seriemas, Trevo Planalto, BR-158, Trevo Itacolomi, Rua Itacolomi, Rua Itabira, Rua Caetano Munhos da Rocha, Rua Vereador Cacique Creta, Rua Vitor Silvio Biazus, Rua Paraná, Rua Farrapos, Rua Caramuru, P I 2,  Rua Itacolomi, Trevo Itacolomi, BR-158, (Trevo Planalto), Marginal BR 158, Rua Édimo Belmiro Pastro, (Bairro Bela Vista).</t>
  </si>
  <si>
    <t>Bairro São João</t>
  </si>
  <si>
    <t>Rua Édimo Belmiro Pastro (Bairro Bela Vista e Planalto), Rua das Andorinhas, (Bairro Paulo Afonso)Rua Aurea Zandona, Rua Augusto Saggin, Rua Abilio Parzianello, Rua Das Andorinhas,  Rua das Garças, Rua dos Cardeais, (bairro Alto da Glória) Rua Mohamad Homar Awada, (Bairro São João, Bairro Vila São Pedro),  Rua Clarice Recalcati, Rua Sadi Bertol, Rua Clarice Recalcati, Rua Mohamad Homar Awada, Rua dos Cardeais, Rua das Seriemas, Trevo Planalto, BR-158, Marginal BR 158,Trevo Itacolomi, Rua Itacolomi, Rua Ubiratã, Rua Xingú, Rua Tamoio (PI2), Rua Itabira,  Rua Caramuru, Rua Tamoio (P2), Rua Tamoio, Rua Itacolomi, Trevo Itacolomi, Marginal BR-158, Rua Édimo Belmiro Pastro.</t>
  </si>
  <si>
    <t>UTFPR</t>
  </si>
  <si>
    <t>Bairro Bela Vista                   (Édimo Pastro)</t>
  </si>
  <si>
    <t>Planalto (Rua das Garças)</t>
  </si>
  <si>
    <t>Bairro São joão</t>
  </si>
  <si>
    <r>
      <rPr>
        <sz val="12"/>
        <rFont val="Arial Narrow"/>
        <charset val="134"/>
      </rPr>
      <t xml:space="preserve">1. Nas viagens </t>
    </r>
    <r>
      <rPr>
        <b/>
        <u/>
        <sz val="12"/>
        <color rgb="FFFF0000"/>
        <rFont val="Arial Narrow"/>
        <charset val="134"/>
      </rPr>
      <t>05h40min e 12h45min</t>
    </r>
    <r>
      <rPr>
        <sz val="12"/>
        <rFont val="Arial Narrow"/>
        <charset val="134"/>
      </rPr>
      <t xml:space="preserve"> no sentido </t>
    </r>
    <r>
      <rPr>
        <b/>
        <u/>
        <sz val="12"/>
        <rFont val="Arial Narrow"/>
        <charset val="134"/>
      </rPr>
      <t>Bairro São João - P I 2</t>
    </r>
    <r>
      <rPr>
        <sz val="12"/>
        <rFont val="Arial Narrow"/>
        <charset val="134"/>
      </rPr>
      <t xml:space="preserve">, inclui-se no intinerário a </t>
    </r>
    <r>
      <rPr>
        <b/>
        <u/>
        <sz val="12"/>
        <rFont val="Arial Narrow"/>
        <charset val="134"/>
      </rPr>
      <t>Rua Eugênio Pezarico, Rua Sadi Bertol, Rua Clarice Recalcati, Rua Mohamad Homar Awada, Rua dos Cardeais, Rua das Siriemas.</t>
    </r>
  </si>
  <si>
    <r>
      <rPr>
        <sz val="12"/>
        <rFont val="Arial Narrow"/>
        <charset val="134"/>
      </rPr>
      <t xml:space="preserve">1. Nas viagens </t>
    </r>
    <r>
      <rPr>
        <b/>
        <u/>
        <sz val="12"/>
        <color rgb="FFFF0000"/>
        <rFont val="Arial Narrow"/>
        <charset val="134"/>
      </rPr>
      <t>05h40min e 12h45min</t>
    </r>
    <r>
      <rPr>
        <sz val="12"/>
        <rFont val="Arial Narrow"/>
        <charset val="134"/>
      </rPr>
      <t xml:space="preserve"> no sentido </t>
    </r>
    <r>
      <rPr>
        <b/>
        <u/>
        <sz val="12"/>
        <rFont val="Arial Narrow"/>
        <charset val="134"/>
      </rPr>
      <t>Bairro São João - P I 2</t>
    </r>
    <r>
      <rPr>
        <sz val="12"/>
        <rFont val="Arial Narrow"/>
        <charset val="134"/>
      </rPr>
      <t xml:space="preserve">, inclui-se no intinerário a </t>
    </r>
    <r>
      <rPr>
        <b/>
        <u/>
        <sz val="12"/>
        <rFont val="Arial Narrow"/>
        <charset val="134"/>
      </rPr>
      <t>Rua Eugênio Pezarico, Rua Sadi Bertol, Rua Clarice Recalcati, Rua Mohammad Omar Awada, Rua dos Cardeais, Rua das Seriemas.</t>
    </r>
  </si>
  <si>
    <r>
      <rPr>
        <sz val="12"/>
        <rFont val="Arial Narrow"/>
        <charset val="134"/>
      </rPr>
      <t xml:space="preserve">2. Executa-se o intinerário de Segunda-Feira até Sábado até a viagem das </t>
    </r>
    <r>
      <rPr>
        <b/>
        <u/>
        <sz val="12"/>
        <color rgb="FFFF0000"/>
        <rFont val="Arial Narrow"/>
        <charset val="134"/>
      </rPr>
      <t>13h30min</t>
    </r>
    <r>
      <rPr>
        <sz val="12"/>
        <rFont val="Arial Narrow"/>
        <charset val="134"/>
      </rPr>
      <t xml:space="preserve"> e </t>
    </r>
    <r>
      <rPr>
        <b/>
        <u/>
        <sz val="12"/>
        <color rgb="FFFF0000"/>
        <rFont val="Arial Narrow"/>
        <charset val="134"/>
      </rPr>
      <t>14h15min.</t>
    </r>
  </si>
  <si>
    <r>
      <rPr>
        <sz val="12"/>
        <rFont val="Arial Narrow"/>
        <charset val="134"/>
      </rPr>
      <t xml:space="preserve">3. Retorna a partir das </t>
    </r>
    <r>
      <rPr>
        <b/>
        <u/>
        <sz val="12"/>
        <color rgb="FFFF0000"/>
        <rFont val="Arial Narrow"/>
        <charset val="134"/>
      </rPr>
      <t>15h50min</t>
    </r>
    <r>
      <rPr>
        <sz val="12"/>
        <rFont val="Arial Narrow"/>
        <charset val="134"/>
      </rPr>
      <t xml:space="preserve"> incluindo intinerário da </t>
    </r>
    <r>
      <rPr>
        <b/>
        <u/>
        <sz val="12"/>
        <rFont val="Arial Narrow"/>
        <charset val="134"/>
      </rPr>
      <t>Linha 115 - Planalto - Centro (via Rodoviária).</t>
    </r>
  </si>
  <si>
    <t>2030</t>
  </si>
  <si>
    <t>2028</t>
  </si>
  <si>
    <t xml:space="preserve"> Linha 114 - SÃO ROQUE - VILA VERDE - VILA ESPERANÇA</t>
  </si>
  <si>
    <t>(Bairro São Roque), Rua Wilibat, Rua Riberão Preto, Rua Taubaté, Rua Marilia, Rua Terezinha Duarte, Rua Ivaí, Rua Zacarias de Gois e Vasconcelos, Rua Xavier da Silva, Rua Lupicínio Rodrigues, Rua Amambaí, Rua Iguatemi, Rua Genuíno Piacentini, Rua Xingú, Rua Tamoio, P I 2,  Rua Iguaçu, Rua Guarani, Rua Farrapos, Av. Brasil, Trevo BR 158, Rua José Leonardi, Rua Vinícius de Moraes, Rua Marco Penso, Rua Moacir José Martins, Marginal BR 158,  SEMÁFORO,  Rua Paraná, Rua Farrapos (Ponto Rodoviária), Rua Caramuru, P I 1, Rua Tamoio, Rua Xavantes, Rua Genuíno Piacentini, Rua Iguatemi, Rua Amambaí, Rua Lupicínio Rodrigues, Rua Wilibat.</t>
  </si>
  <si>
    <t>SEGUNDA-FEIRA À SEXTA - FEIRA</t>
  </si>
  <si>
    <t>São Roque ( Rua Wilibat)</t>
  </si>
  <si>
    <t>São Cristóvão (Rua Alexandre Gusmão)</t>
  </si>
  <si>
    <t>São Roque (Rua Wilibat)</t>
  </si>
  <si>
    <t>P I 2  Ponto Casa do Artesão (Rua Tamoio)</t>
  </si>
  <si>
    <t xml:space="preserve">Bairro Vila Esperança           </t>
  </si>
  <si>
    <t>P I 1 - Ponto Casa do Artesão (Rua Caramuru)</t>
  </si>
  <si>
    <r>
      <rPr>
        <sz val="16"/>
        <rFont val="Arial Narrow"/>
        <charset val="134"/>
      </rPr>
      <t xml:space="preserve">1. Nas viagens </t>
    </r>
    <r>
      <rPr>
        <b/>
        <u/>
        <sz val="16"/>
        <color rgb="FFFF0000"/>
        <rFont val="Arial Narrow"/>
        <charset val="134"/>
      </rPr>
      <t>07h05min, 07h45min, 12h25min, 13h05min, 18h25min e 19h05min</t>
    </r>
    <r>
      <rPr>
        <sz val="16"/>
        <rFont val="Arial Narrow"/>
        <charset val="134"/>
      </rPr>
      <t xml:space="preserve"> no sentido </t>
    </r>
    <r>
      <rPr>
        <b/>
        <u/>
        <sz val="16"/>
        <rFont val="Arial Narrow"/>
        <charset val="134"/>
      </rPr>
      <t>Bairro Vila Esperança - P I 1</t>
    </r>
    <r>
      <rPr>
        <sz val="16"/>
        <rFont val="Arial Narrow"/>
        <charset val="134"/>
      </rPr>
      <t xml:space="preserve">, inclui-se no intinerário a </t>
    </r>
    <r>
      <rPr>
        <b/>
        <u/>
        <sz val="16"/>
        <rFont val="Arial Narrow"/>
        <charset val="134"/>
      </rPr>
      <t>Estrada Irineu Bertani, Rua Pedro Kriger, Rua  Saul Viganó, Rua Jacob Gugelmin, Estrada Irineu Bertani, Rua Tobias José Nesi (Bairro Pagnoncelli), Rua Rafael Lopes dos Santos (até Rua Claudino Gresele),Rua Tobias José Nesi  Estrada Irineu Bertani, Rua José Leonardi.</t>
    </r>
  </si>
  <si>
    <r>
      <rPr>
        <sz val="16"/>
        <rFont val="Arial Narrow"/>
        <charset val="134"/>
      </rPr>
      <t xml:space="preserve">2.  Nas viagens das </t>
    </r>
    <r>
      <rPr>
        <b/>
        <u/>
        <sz val="16"/>
        <color rgb="FFFF0000"/>
        <rFont val="Arial Narrow"/>
        <charset val="134"/>
      </rPr>
      <t>19h30min e 20h50min</t>
    </r>
    <r>
      <rPr>
        <sz val="16"/>
        <rFont val="Arial Narrow"/>
        <charset val="134"/>
      </rPr>
      <t xml:space="preserve"> no sentido </t>
    </r>
    <r>
      <rPr>
        <b/>
        <u/>
        <sz val="16"/>
        <rFont val="Arial Narrow"/>
        <charset val="134"/>
      </rPr>
      <t>P I 1 - Bairro São Roque</t>
    </r>
    <r>
      <rPr>
        <sz val="16"/>
        <rFont val="Arial Narrow"/>
        <charset val="134"/>
      </rPr>
      <t xml:space="preserve">, o intineráio será executado da seguinda forma:  </t>
    </r>
    <r>
      <rPr>
        <b/>
        <u/>
        <sz val="16"/>
        <rFont val="Arial Narrow"/>
        <charset val="134"/>
      </rPr>
      <t>P I 1, Rua Tamoio, Av. Tupi, Marginal da Av. Tupi,  Rua Alexandre Gusmão, Rua da Inconfidência, Rua Luiz Xavier, Rua Manoel Bandeira, Rua  Vinte e Um  de Abril, Rua Érico Veríssimo, Rua Papa João XXIII,  Rua Manoel Bandeira, Rua Antônio Garcês, Rua R. da República,  Rua Papa João XXIII, Av. Tupi, Rua Ribeirão Preto, (Bairro São Roque).</t>
    </r>
  </si>
  <si>
    <r>
      <rPr>
        <sz val="16"/>
        <rFont val="Arial Narrow"/>
        <charset val="134"/>
      </rPr>
      <t xml:space="preserve">3. Nas viagens das </t>
    </r>
    <r>
      <rPr>
        <b/>
        <u/>
        <sz val="16"/>
        <color rgb="FFFF0000"/>
        <rFont val="Arial Narrow"/>
        <charset val="134"/>
      </rPr>
      <t xml:space="preserve">13h30min, 14h50min e 16h10min </t>
    </r>
    <r>
      <rPr>
        <sz val="16"/>
        <rFont val="Arial Narrow"/>
        <charset val="134"/>
      </rPr>
      <t xml:space="preserve">no sentido </t>
    </r>
    <r>
      <rPr>
        <b/>
        <u/>
        <sz val="16"/>
        <rFont val="Arial Narrow"/>
        <charset val="134"/>
      </rPr>
      <t>PI1 - Bairro São Roque</t>
    </r>
    <r>
      <rPr>
        <sz val="16"/>
        <rFont val="Arial Narrow"/>
        <charset val="134"/>
      </rPr>
      <t xml:space="preserve">, o itinerário será executado na seguinte forma: </t>
    </r>
    <r>
      <rPr>
        <b/>
        <u/>
        <sz val="16"/>
        <rFont val="Arial Narrow"/>
        <charset val="134"/>
      </rPr>
      <t xml:space="preserve"> P I 1, Rua Tamoio, Rua Xavantes, Rua Genuíno Piacentini, Rua Iguatemi, Rua Amambaí, Rua Lupicínio Rodrigues, Rua Wilibat, Rua Ribeirão Preto, SEMÁFORO, Av. Tupi, Marginal Av. Tupi,  Rua Alexandre Gusmão, Rua da Inconfidência, Rua Luiz Xavier, Rua Manoel Bandeira, Rua  Vinte e Um  de Abril, Rua Érico Veríssimo, Rua Papa João XXIII,  Rua Manoel Bandeira, Rua Antônio Garcês, Rua R. da República,  Rua Papa João XXIII, Av. Tupi, Rua Ribeirão Preto, (Bairro São Roque).</t>
    </r>
  </si>
  <si>
    <r>
      <rPr>
        <sz val="16"/>
        <rFont val="Arial Narrow"/>
        <charset val="134"/>
      </rPr>
      <t xml:space="preserve">4.O </t>
    </r>
    <r>
      <rPr>
        <b/>
        <u/>
        <sz val="16"/>
        <rFont val="Arial Narrow"/>
        <charset val="134"/>
      </rPr>
      <t>Carro 03</t>
    </r>
    <r>
      <rPr>
        <sz val="16"/>
        <rFont val="Arial Narrow"/>
        <charset val="134"/>
      </rPr>
      <t xml:space="preserve"> é executado de </t>
    </r>
    <r>
      <rPr>
        <b/>
        <u/>
        <sz val="16"/>
        <rFont val="Arial Narrow"/>
        <charset val="134"/>
      </rPr>
      <t>Segunda - Feira à Sexta - Feira.</t>
    </r>
  </si>
  <si>
    <r>
      <rPr>
        <sz val="16"/>
        <rFont val="Arial Narrow"/>
        <charset val="134"/>
      </rPr>
      <t xml:space="preserve">1. Nas viagens das </t>
    </r>
    <r>
      <rPr>
        <b/>
        <u/>
        <sz val="16"/>
        <color rgb="FFFF0000"/>
        <rFont val="Arial Narrow"/>
        <charset val="134"/>
      </rPr>
      <t>07h05min, 07h45min,12h25min e 13h05min</t>
    </r>
    <r>
      <rPr>
        <sz val="16"/>
        <rFont val="Arial Narrow"/>
        <charset val="134"/>
      </rPr>
      <t xml:space="preserve"> no sentido </t>
    </r>
    <r>
      <rPr>
        <b/>
        <u/>
        <sz val="16"/>
        <rFont val="Arial Narrow"/>
        <charset val="134"/>
      </rPr>
      <t>Bairro Vila Esperança - P I 1</t>
    </r>
    <r>
      <rPr>
        <sz val="16"/>
        <rFont val="Arial Narrow"/>
        <charset val="134"/>
      </rPr>
      <t xml:space="preserve">, inclui-se no intinerário a </t>
    </r>
    <r>
      <rPr>
        <b/>
        <u/>
        <sz val="16"/>
        <rFont val="Arial Narrow"/>
        <charset val="134"/>
      </rPr>
      <t>Estrada Irineu Bertani, Rua Pedro Kriger, Rua  Saul Viganó, Rua Jacob Gugelmin, Estrada Irineu Bertani, Rua TobiasJosé Nesi (Bairro Pagnoncelli), Rua Rafael Lopes dos Santos (até Rua Claudino Gresele), Rua Tobias José Nesi, Estrada Irineu Bertani, Rua José Leonardi.</t>
    </r>
  </si>
  <si>
    <r>
      <rPr>
        <sz val="16"/>
        <rFont val="Arial Narrow"/>
        <charset val="134"/>
      </rPr>
      <t xml:space="preserve">2. Aos sábados executa-se o itinerário até a viagem das </t>
    </r>
    <r>
      <rPr>
        <b/>
        <u/>
        <sz val="16"/>
        <color rgb="FFFF0000"/>
        <rFont val="Arial Narrow"/>
        <charset val="134"/>
      </rPr>
      <t>14h10min e 14h20min.</t>
    </r>
  </si>
  <si>
    <t>Linha 115 - Planalto - Centro (via Rodoviária)</t>
  </si>
  <si>
    <t>(Bairro Planalto), Rua Maracanã, Rua das Araras, Rua das Garças, Rua dos Cardeais, Rua das Siriemas, Trevo Planalto, Marginal BR-158, Trevo Itacolomi, Rua Itacolomi, Rua Afonso Pena (Bairro Menino Deus, BHF e Jardim Primavera), Rua Caetano Munhos da Rocha, Rua Vereador Cacique Creta, Rua Victor Sílvio Biazus, Rua Paraná, Rua Farrapos, Av. Brasil, (Ponto  Rodoviária), Marginal Br 158, Rua Nereu Ramos, Rua Caramuru, P I 2, Rua Tamoio,  Rua Itacolomi, Trevo Itacolomi, Marginal BR 158, (Bairro Planalto).</t>
  </si>
  <si>
    <t>P I 2                                                           Ponto Casa do Artesão                                       (Rua Tamoio)</t>
  </si>
  <si>
    <r>
      <rPr>
        <sz val="12"/>
        <rFont val="Arial Narrow"/>
        <charset val="134"/>
      </rPr>
      <t xml:space="preserve">1. Na Viagem das </t>
    </r>
    <r>
      <rPr>
        <b/>
        <u/>
        <sz val="12"/>
        <color rgb="FFFF0000"/>
        <rFont val="Arial Narrow"/>
        <charset val="134"/>
      </rPr>
      <t>07h10min</t>
    </r>
    <r>
      <rPr>
        <sz val="12"/>
        <rFont val="Arial Narrow"/>
        <charset val="134"/>
      </rPr>
      <t xml:space="preserve"> no sentido Bairro Planalto (Rua Maracanã) - P I 2, é realizado o itinerário da seguinte forma: Rua Maracanã, Rua das Araras, Rua das Garças, Rua dos Cardeais, Rua das Siriemas, Marginal da BR-158, Trevo da Guepardo, BR-158.</t>
    </r>
  </si>
  <si>
    <r>
      <rPr>
        <sz val="12"/>
        <rFont val="Arial Narrow"/>
        <charset val="134"/>
      </rPr>
      <t xml:space="preserve">1. É executada até a viagem das </t>
    </r>
    <r>
      <rPr>
        <b/>
        <u/>
        <sz val="12"/>
        <color rgb="FFFF0000"/>
        <rFont val="Arial Narrow"/>
        <charset val="134"/>
      </rPr>
      <t>13h40min.</t>
    </r>
  </si>
  <si>
    <r>
      <rPr>
        <sz val="12"/>
        <rFont val="Arial Narrow"/>
        <charset val="134"/>
      </rPr>
      <t xml:space="preserve">2. A partir das </t>
    </r>
    <r>
      <rPr>
        <b/>
        <u/>
        <sz val="12"/>
        <color rgb="FFFF0000"/>
        <rFont val="Arial Narrow"/>
        <charset val="134"/>
      </rPr>
      <t>15h50min</t>
    </r>
    <r>
      <rPr>
        <sz val="12"/>
        <rFont val="Arial Narrow"/>
        <charset val="134"/>
      </rPr>
      <t xml:space="preserve"> é realizado pela </t>
    </r>
    <r>
      <rPr>
        <b/>
        <u/>
        <sz val="12"/>
        <rFont val="Arial Narrow"/>
        <charset val="134"/>
      </rPr>
      <t>Linha 113 São João - Bella Vista - Paulo Afonso.</t>
    </r>
  </si>
  <si>
    <t>Linha 116 - Nova Espero</t>
  </si>
  <si>
    <t>P I 3, Rua Tamoio, Rua Ararigbóia, Rua Tocantins, PI 4, Rua Jaciretã, Av. Tupi, Trevo Patinho, BR-158, (Nova Espero), Rua Câmara Junior, Rua Santo Agostinho (Ponto Aramart), Rua José Tirloni, Rua Armando Setti, Rua 14 de Dezembro, Rua David Tirloni, Rua Câmara Junior, BR-158, Trevo Patinho, Trevo Taísa, Rua Nereu Ramos, Rua Caramuru, Rua Itacolomi, Rua Tamoio, P I 3.</t>
  </si>
  <si>
    <t>P I 2                                          Ponto Casa do Artesão         (Rua Tamoio)</t>
  </si>
  <si>
    <t>P I 4                                      Ponto Pavilhão São Pedro</t>
  </si>
  <si>
    <t>Ponto Atlas</t>
  </si>
  <si>
    <t>Bairro Nova Espero</t>
  </si>
  <si>
    <t>Segunda-feira à Sexta-feira</t>
  </si>
  <si>
    <r>
      <rPr>
        <sz val="12"/>
        <rFont val="Arial Narrow"/>
        <charset val="134"/>
      </rPr>
      <t xml:space="preserve">1. Na viagem das </t>
    </r>
    <r>
      <rPr>
        <b/>
        <u/>
        <sz val="12"/>
        <color rgb="FFFF0000"/>
        <rFont val="Arial Narrow"/>
        <charset val="134"/>
      </rPr>
      <t>17h15min</t>
    </r>
    <r>
      <rPr>
        <sz val="12"/>
        <rFont val="Arial Narrow"/>
        <charset val="134"/>
      </rPr>
      <t xml:space="preserve"> sentido </t>
    </r>
    <r>
      <rPr>
        <b/>
        <u/>
        <sz val="12"/>
        <rFont val="Arial Narrow"/>
        <charset val="134"/>
      </rPr>
      <t>Bairro Nova Espero - P I 3</t>
    </r>
    <r>
      <rPr>
        <sz val="12"/>
        <rFont val="Arial Narrow"/>
        <charset val="134"/>
      </rPr>
      <t xml:space="preserve"> ao chegar no </t>
    </r>
    <r>
      <rPr>
        <b/>
        <u/>
        <sz val="12"/>
        <rFont val="Arial Narrow"/>
        <charset val="134"/>
      </rPr>
      <t>Ponto Atlas</t>
    </r>
    <r>
      <rPr>
        <sz val="12"/>
        <rFont val="Arial Narrow"/>
        <charset val="134"/>
      </rPr>
      <t xml:space="preserve"> aguarda-se para partir às </t>
    </r>
    <r>
      <rPr>
        <b/>
        <u/>
        <sz val="12"/>
        <color rgb="FFFF0000"/>
        <rFont val="Arial Narrow"/>
        <charset val="134"/>
      </rPr>
      <t>17h35min.</t>
    </r>
  </si>
  <si>
    <t>Linha 117 -  Planalto - UTFPR - UNIDEP</t>
  </si>
  <si>
    <t>(Shopping Pato Branco) Avenida da Inovação, Avenida Tupi, Trevo do Patinho, PR-493, UTFPR, Rua Eliza Cola Padoan, Rua Irineu Parzianello, Rua Lidio Oltramari, Rua Benjamim Borges dos Santos, UNIDEP, PR-493, Trevo Patinho, Marginal BR-158, Trevo da Taísa, Rua José Leonardi, Rua Vinícius de Moraes, Rua Marco Penso, Rua Moacir José Martins, Marginal BR 158,  SEMÁFORO,  Rua Paraná, Rua Farrapos, Avenida Brasil (Ponto da Rodoviaria), Rua Maria Bueno, Rua Dez de Maio, Rua Victor Sílvio Biazus, Rua Vereador Cacique Creta, Rua Caetano Munhos da Rocha, Rua Itabira, Rua Afonso Pena, Rua Itacolomi, Trevo Itacolomi, Marginal BR 158,  Rua Édimo Belmiro Pastro, (Bairro Bela Vista), Rua das Andorinhas, Ruas das Garças, Rua dos Cardeais, Rua das Siriemas, (Bairro Planalto).</t>
  </si>
  <si>
    <t>Bairro Planalto</t>
  </si>
  <si>
    <t xml:space="preserve">Shopping Pato Branco </t>
  </si>
  <si>
    <t>Linha 119 - SHOPPING PATO BRANCO /  SÃO FRANCISCO</t>
  </si>
  <si>
    <t>(Bairro São Francisco), Rua Artibano Sutile, Rua Vitorino Tiocheta, Rua Dionisio D. Sauthier, Rua Celito Giacomel, Rua Pioneiro Victório Leonardi, Rua Melci Dalmolin, Rua Artibano Sutille, Trevo CAPEG, Marginal BR-158, Parque Teophilo Petrikoski, BR 158, Trevo do Patinho, Avenida Tupi, Rua Tapir, Rua Caramuru, Rua Tamoio, P I 2, Rua Tamoio, Rua Ararigbóia, Rua Tocantins, Rua Jaciretâ, Avenida Tupi,  Avenida da Inovação (Shopping Pato Branco), Rua Hilda Maria Colla, Rua Abel Bortot,  Estrada Municipal, Rua Abrosio Bez, Rua Carmela Bortot,  Rua Tocantins, Rua Artibano Sutile.</t>
  </si>
  <si>
    <t>SEGUNDA-FEIRA À SEXTA -FEIRA</t>
  </si>
  <si>
    <t>Avenida da Inovação      (Shopping Pato Branco)</t>
  </si>
  <si>
    <t>Bairro São Luiz                       (Rua Amborsio Bez)</t>
  </si>
  <si>
    <t xml:space="preserve">Bairro São Francisco         (Primeiro Ponto da Rua Artibano Sutile sentido Bairro São Francisco) </t>
  </si>
  <si>
    <t>UTFPR / UNIDEP</t>
  </si>
  <si>
    <t xml:space="preserve"> Shopping Pato Branco - UTFPR - Centro</t>
  </si>
  <si>
    <t xml:space="preserve">(Shopping Pato Branco) Avenida da Inovação, Avenida Tupi, Trevo do Patinho, Avenida Tupi, Rua Tapir, Rua Caramuru, Rua Tamoio, P I 1, Rua Tamoio, Av. Tupi, Marginal Av. Tupi, Rua das Flores, Rua Princesa Isabel, Rua Jaury Heitor de Souza (Bairro Gralha Azul), Rua Ricieri Pastori, Rua Marcelino Parzianello, Rua das Flores, Marginal Av. Tupi, Av. Tupi, Rua Bento Gonçalves, Rua General Osório, Rua Curitiba, Rua das Acácias, Rua Bento Gonçalves, Rua das Hortências, Rua Antônio Ascari, Rua Tocantins, Avenida da Inovação. </t>
  </si>
  <si>
    <t xml:space="preserve">Bairro Veneza </t>
  </si>
  <si>
    <t>Shopping Pato Branco) Avenida da Inovação, Rua Tocantins, Rua Artibano Sutile, Rua Gelmino Martignone, Rua Melci Dal Molim, Rua Artibano Sutile, Trevo CAPEG, Marginal BR-158, Parque Teophilo Petrikoski, BR 158, Trevo do Patinho,Marginal da BR-158, Trevo da Taisa, Rua Moacir de Jesus Martins, Rua Março Penso, Rua Vinivius de Moraes, Rua José Leonardi, Rua Irineu Bertani, Rua Mohammed Omar Awada, Rua dos Cardeais, Rua das Seriemas, Trevo Planalto, BR-158, Marginal BR 158,Trevo Itacolomi, Rua Itacolomi, Rua Ubiratã, Rua Xingú, Rua Tamoio (PI2), Rua Tamoio, Rua Araribóia, Rua Tocantins, Avenida da Inovação.</t>
  </si>
  <si>
    <t xml:space="preserve">Bairro Vila Esperança </t>
  </si>
  <si>
    <t xml:space="preserve">Bairro Planalto </t>
  </si>
  <si>
    <t>Shopping Pato Branco - UTFPR - Centro</t>
  </si>
  <si>
    <t xml:space="preserve">Rua Édimo Belmiro Pastro (Bairro Bela Vista e Planalto), Rua das Andorinhas, (Bairro Paulo Afonso)Rua Aurea Zandona, Rua Augusto Saggin, Rua Abilio Parzianello, Rua Das Andorinhas,  Rua das Garças, Rua dos Cardeais, (bairro Alto da Glória) Rua Mohamad Homar Awada, (Bairro São João, Bairro Vila São Pedro),  Rua Clarice Recalcati, Rua Sadi Bertol, Rua Clarice Recalcati, Rua Mohamad Homar Awada, Rua dos Cardeais, Rua das Seriemas, Marginal da BR-158, BR-158 (Trevo da Guepardo), BR-158, (Trevo da Cattani) PR 280,   (Trevo Patrola), Marginal Av. Tupi,  Av. Tupi, Av. Brasil, Rua Xingú, Rua Tamoio, P I 3, Rua Ararigboia, Rua Tocantins, P I 4, Rua Jaciretã, Av. Tupi, Avenida da Inovação (Shopping Pato Branco), </t>
  </si>
  <si>
    <t>Shopping Pato Branco) Avenida da Inovação, Rua Tocantins, Rua Artibano Sutile, Rua Gelmino Martignone, Rua Melci Dal Molim, Rua Artibano Sutile, Trevo CAPEG, Marginal BR-158, Parque Teophilo Petrikoski, BR 158, Trevo do Patinho,  Marginal da BR-158, Trevo da Taisa, Rua Moacir de Jesus Martins, Rua Março Penso, Rua Vinicius de Moraes, Rua José Leonardi, Rua Irineu Bertani, Rua Mohammed Omar Awada, Rua dos Cardeais, Rua das Seriemas, Trevo Planalto, BR-158, Marginal BR 158,Trevo Itacolomi, Rua Itacolomi, Rua Ubiratã, Rua Xingú, Rua Tamoio (PI2), Rua Tamoio, Rua Araribóia, Rua Tocantins, Avenida da Inovação.</t>
  </si>
  <si>
    <t>SEGUNDA-FEIRA À SÁBADO</t>
  </si>
  <si>
    <r>
      <rPr>
        <sz val="12"/>
        <rFont val="Arial Narrow"/>
        <charset val="134"/>
      </rPr>
      <t xml:space="preserve">1. Na viagem das </t>
    </r>
    <r>
      <rPr>
        <b/>
        <u/>
        <sz val="12"/>
        <color rgb="FFFF0000"/>
        <rFont val="Arial Narrow"/>
        <charset val="134"/>
      </rPr>
      <t>09h20min e 16h35min</t>
    </r>
    <r>
      <rPr>
        <sz val="12"/>
        <rFont val="Arial Narrow"/>
        <charset val="134"/>
      </rPr>
      <t xml:space="preserve"> sentido </t>
    </r>
    <r>
      <rPr>
        <b/>
        <u/>
        <sz val="12"/>
        <rFont val="Arial Narrow"/>
        <charset val="134"/>
      </rPr>
      <t>Centro - Bairro São Francisco</t>
    </r>
    <r>
      <rPr>
        <sz val="12"/>
        <rFont val="Arial Narrow"/>
        <charset val="134"/>
      </rPr>
      <t xml:space="preserve">, o intinerario executado será </t>
    </r>
    <r>
      <rPr>
        <b/>
        <u/>
        <sz val="12"/>
        <rFont val="Arial Narrow"/>
        <charset val="134"/>
      </rPr>
      <t>Rua Tamoio, P I 2, Rua Tamoio, Rua Ararigbóia, Rua Tocantins, Rua Jaciretâ, Avenida Tupi,  Avenida da Inovação (Shopping Pato Branco), Avenida da Inovação, Rua Tocantins, Rua Artibano Sutile.</t>
    </r>
  </si>
  <si>
    <r>
      <rPr>
        <sz val="12"/>
        <rFont val="Arial Narrow"/>
        <charset val="134"/>
      </rPr>
      <t xml:space="preserve">2. Na viagem das </t>
    </r>
    <r>
      <rPr>
        <b/>
        <u/>
        <sz val="12"/>
        <color rgb="FFFF0000"/>
        <rFont val="Arial Narrow"/>
        <charset val="134"/>
      </rPr>
      <t>10h15min e 10h45min</t>
    </r>
    <r>
      <rPr>
        <sz val="12"/>
        <rFont val="Arial Narrow"/>
        <charset val="134"/>
      </rPr>
      <t xml:space="preserve"> sentido </t>
    </r>
    <r>
      <rPr>
        <b/>
        <u/>
        <sz val="12"/>
        <rFont val="Arial Narrow"/>
        <charset val="134"/>
      </rPr>
      <t>Centro - Bairro São Francisco</t>
    </r>
    <r>
      <rPr>
        <sz val="12"/>
        <rFont val="Arial Narrow"/>
        <charset val="134"/>
      </rPr>
      <t xml:space="preserve">, o intinerario executado será somente até o Shopping Pato Branco, sendo </t>
    </r>
    <r>
      <rPr>
        <b/>
        <u/>
        <sz val="12"/>
        <rFont val="Arial Narrow"/>
        <charset val="134"/>
      </rPr>
      <t>Rua Tamoio, P I 2, Rua Tamoio, Rua Ararigbóia, Rua Tocantins, Rua Jaciretâ, Avenida Tupi,  Avenida da Inovação (Shopping Pato Branco).</t>
    </r>
  </si>
  <si>
    <r>
      <rPr>
        <sz val="12"/>
        <rFont val="Arial Narrow"/>
        <charset val="134"/>
      </rPr>
      <t xml:space="preserve">3. Na viagem das </t>
    </r>
    <r>
      <rPr>
        <b/>
        <u/>
        <sz val="12"/>
        <color rgb="FFFF0000"/>
        <rFont val="Arial Narrow"/>
        <charset val="134"/>
      </rPr>
      <t>10h30min e 11h00min</t>
    </r>
    <r>
      <rPr>
        <sz val="12"/>
        <rFont val="Arial Narrow"/>
        <charset val="134"/>
      </rPr>
      <t xml:space="preserve"> sentido </t>
    </r>
    <r>
      <rPr>
        <b/>
        <u/>
        <sz val="12"/>
        <rFont val="Arial Narrow"/>
        <charset val="134"/>
      </rPr>
      <t>Shopping Pato Branco - Centro</t>
    </r>
    <r>
      <rPr>
        <sz val="12"/>
        <rFont val="Arial Narrow"/>
        <charset val="134"/>
      </rPr>
      <t xml:space="preserve">, o intinerario executado será </t>
    </r>
    <r>
      <rPr>
        <b/>
        <u/>
        <sz val="12"/>
        <rFont val="Arial Narrow"/>
        <charset val="134"/>
      </rPr>
      <t>Avenida da Inovação, Avenida Tupi, Rua Tapir, Rua Tapir, Rua Caramuru, Rua Tamoio PI2 (casa do Artesão).</t>
    </r>
  </si>
  <si>
    <r>
      <rPr>
        <sz val="12"/>
        <rFont val="Arial Narrow"/>
        <charset val="134"/>
      </rPr>
      <t xml:space="preserve">4. Na viagem das </t>
    </r>
    <r>
      <rPr>
        <b/>
        <u/>
        <sz val="12"/>
        <color rgb="FFFF0000"/>
        <rFont val="Arial Narrow"/>
        <charset val="134"/>
      </rPr>
      <t>09h45min e 17h00min</t>
    </r>
    <r>
      <rPr>
        <sz val="12"/>
        <rFont val="Arial Narrow"/>
        <charset val="134"/>
      </rPr>
      <t xml:space="preserve"> sentido </t>
    </r>
    <r>
      <rPr>
        <b/>
        <u/>
        <sz val="12"/>
        <rFont val="Arial Narrow"/>
        <charset val="134"/>
      </rPr>
      <t>Bairro São Francisco - Centro</t>
    </r>
    <r>
      <rPr>
        <sz val="12"/>
        <rFont val="Arial Narrow"/>
        <charset val="134"/>
      </rPr>
      <t xml:space="preserve">, o intinerario executado será </t>
    </r>
    <r>
      <rPr>
        <b/>
        <u/>
        <sz val="12"/>
        <rFont val="Arial Narrow"/>
        <charset val="134"/>
      </rPr>
      <t>(Bairro São Francisco), Rua Artibano Sutile, Rua Vitorino Tiocheta, Rua Dionisio D. Sauthier, Rua Celito Giacomel, Rua Pioneiro Victório Leonardi, Rua Melci Dalmolin, Rua Artibano Sutille, Rua Tocantins, Avenida da Inocavação (Shopping Pato Branco), Rua Hilda Maria Colla, Rua Abel Bortot,  Estrada Municipal, Rua Abrosio Bez, Rua Carmela Bortot,  Rua Tocantins, Rua Osvaldo Aranha, Avenida Tupi, Rua Tapir, Rua Caramuru, Rua Tamoio PI2 (casa do Artesão).</t>
    </r>
  </si>
  <si>
    <r>
      <rPr>
        <sz val="12"/>
        <rFont val="Arial Narrow"/>
        <charset val="134"/>
      </rPr>
      <t xml:space="preserve">5. Na viagem das </t>
    </r>
    <r>
      <rPr>
        <b/>
        <u/>
        <sz val="12"/>
        <color rgb="FFFF0000"/>
        <rFont val="Arial Narrow"/>
        <charset val="134"/>
      </rPr>
      <t>11h40min e 17h45min</t>
    </r>
    <r>
      <rPr>
        <sz val="12"/>
        <rFont val="Arial Narrow"/>
        <charset val="134"/>
      </rPr>
      <t xml:space="preserve"> sentido </t>
    </r>
    <r>
      <rPr>
        <b/>
        <u/>
        <sz val="12"/>
        <rFont val="Arial Narrow"/>
        <charset val="134"/>
      </rPr>
      <t>Bairro São Francisco - Centro</t>
    </r>
    <r>
      <rPr>
        <sz val="12"/>
        <rFont val="Arial Narrow"/>
        <charset val="134"/>
      </rPr>
      <t xml:space="preserve">, o intinerario executado será </t>
    </r>
    <r>
      <rPr>
        <b/>
        <u/>
        <sz val="12"/>
        <rFont val="Arial Narrow"/>
        <charset val="134"/>
      </rPr>
      <t>(Bairro São Francisco), Rua Artibano Sutile, Rua Vitorino Tiocheta, Rua Dionisio D. Sauthier, Rua Celito Giacomel, Rua Pioneiro Victório Leonardi, Rua Melci Dalmolin, Rua Artibano Sutille, Rua Tocantins, Rua Osvaldo Aranha, Avenida Tupi, Rua Tapir, Rua Caramuru, Rua Tamoio PI2 (casa do Artesão).</t>
    </r>
  </si>
  <si>
    <r>
      <rPr>
        <sz val="12"/>
        <rFont val="Arial Narrow"/>
        <charset val="134"/>
      </rPr>
      <t xml:space="preserve">6. Na viagem das </t>
    </r>
    <r>
      <rPr>
        <b/>
        <u/>
        <sz val="12"/>
        <color rgb="FFFF0000"/>
        <rFont val="Arial Narrow"/>
        <charset val="134"/>
      </rPr>
      <t>18h45min e 22h10min</t>
    </r>
    <r>
      <rPr>
        <sz val="12"/>
        <rFont val="Arial Narrow"/>
        <charset val="134"/>
      </rPr>
      <t xml:space="preserve"> sentido </t>
    </r>
    <r>
      <rPr>
        <b/>
        <sz val="12"/>
        <rFont val="Arial Narrow"/>
        <charset val="134"/>
      </rPr>
      <t>Shopping Pato Branco - P I 2</t>
    </r>
    <r>
      <rPr>
        <sz val="12"/>
        <rFont val="Arial Narrow"/>
        <charset val="134"/>
      </rPr>
      <t xml:space="preserve">, o intinerario executado será, </t>
    </r>
    <r>
      <rPr>
        <b/>
        <sz val="12"/>
        <rFont val="Arial Narrow"/>
        <charset val="134"/>
      </rPr>
      <t>(Shopping Pato Branco) Avenida da Inovação, Rua Tocantins, Rua Artibano Sutile, Rua Gelmino Martignone, Rua Melci Dal Molim, Rua Artibano Sutile, Trevo CAPEG, Marginal BR-158, Parque Teophilo Petrikoski, BR 158, Trevo do Patinho, Avenida Tupi, Rua Tapir, Rua Caramuru, Rua Tamoio, P I 2</t>
    </r>
    <r>
      <rPr>
        <sz val="12"/>
        <rFont val="Arial Narrow"/>
        <charset val="134"/>
      </rPr>
      <t>.</t>
    </r>
  </si>
  <si>
    <r>
      <rPr>
        <sz val="12"/>
        <rFont val="Arial Narrow"/>
        <charset val="134"/>
      </rPr>
      <t xml:space="preserve">7. Na viagem das </t>
    </r>
    <r>
      <rPr>
        <b/>
        <u/>
        <sz val="12"/>
        <color rgb="FFFF0000"/>
        <rFont val="Arial Narrow"/>
        <charset val="134"/>
      </rPr>
      <t>21h40min</t>
    </r>
    <r>
      <rPr>
        <sz val="12"/>
        <rFont val="Arial Narrow"/>
        <charset val="134"/>
      </rPr>
      <t xml:space="preserve"> sentido </t>
    </r>
    <r>
      <rPr>
        <b/>
        <u/>
        <sz val="12"/>
        <rFont val="Arial Narrow"/>
        <charset val="134"/>
      </rPr>
      <t>P I 2 - Shopping Pato Branco</t>
    </r>
    <r>
      <rPr>
        <sz val="12"/>
        <rFont val="Arial Narrow"/>
        <charset val="134"/>
      </rPr>
      <t xml:space="preserve">, ao chegar no Shopping Pato Branco, aguardar para sair as </t>
    </r>
    <r>
      <rPr>
        <b/>
        <u/>
        <sz val="12"/>
        <color rgb="FFFF0000"/>
        <rFont val="Arial Narrow"/>
        <charset val="134"/>
      </rPr>
      <t>22h10min</t>
    </r>
    <r>
      <rPr>
        <sz val="12"/>
        <rFont val="Arial Narrow"/>
        <charset val="134"/>
      </rPr>
      <t xml:space="preserve">, no sentido </t>
    </r>
    <r>
      <rPr>
        <b/>
        <u/>
        <sz val="12"/>
        <rFont val="Arial Narrow"/>
        <charset val="134"/>
      </rPr>
      <t>Shopping Pato Branco - P I 2</t>
    </r>
  </si>
  <si>
    <r>
      <rPr>
        <sz val="12"/>
        <rFont val="Arial Narrow"/>
        <charset val="134"/>
      </rPr>
      <t xml:space="preserve">8. Na viagem das </t>
    </r>
    <r>
      <rPr>
        <b/>
        <u/>
        <sz val="12"/>
        <color rgb="FFFF0000"/>
        <rFont val="Arial Narrow"/>
        <charset val="134"/>
      </rPr>
      <t>23h05min</t>
    </r>
    <r>
      <rPr>
        <sz val="12"/>
        <rFont val="Arial Narrow"/>
        <charset val="134"/>
      </rPr>
      <t xml:space="preserve"> sentido </t>
    </r>
    <r>
      <rPr>
        <b/>
        <u/>
        <sz val="12"/>
        <rFont val="Arial Narrow"/>
        <charset val="134"/>
      </rPr>
      <t>Shopping Pato Branco - P I 2</t>
    </r>
    <r>
      <rPr>
        <sz val="12"/>
        <rFont val="Arial Narrow"/>
        <charset val="134"/>
      </rPr>
      <t xml:space="preserve">, o Intinerario executado será </t>
    </r>
    <r>
      <rPr>
        <b/>
        <u/>
        <sz val="12"/>
        <rFont val="Arial Narrow"/>
        <charset val="134"/>
      </rPr>
      <t>(Shopping Pato Branco), Avenida da Inovação,  Avenida Tupi, Rua Tapir, Rua Caramuru, Rua Tamoio, P I 2.</t>
    </r>
  </si>
  <si>
    <r>
      <rPr>
        <sz val="12"/>
        <rFont val="Arial Narrow"/>
        <charset val="134"/>
      </rPr>
      <t xml:space="preserve">1. É executado até a viagem das </t>
    </r>
    <r>
      <rPr>
        <b/>
        <u/>
        <sz val="12"/>
        <color rgb="FFFF0000"/>
        <rFont val="Arial Narrow"/>
        <charset val="134"/>
      </rPr>
      <t xml:space="preserve">14h20min, </t>
    </r>
    <r>
      <rPr>
        <sz val="12"/>
        <rFont val="Arial Narrow"/>
        <charset val="134"/>
      </rPr>
      <t xml:space="preserve">retornando as </t>
    </r>
    <r>
      <rPr>
        <b/>
        <u/>
        <sz val="12"/>
        <color rgb="FFFF0000"/>
        <rFont val="Arial Narrow"/>
        <charset val="134"/>
      </rPr>
      <t xml:space="preserve">22h05min </t>
    </r>
    <r>
      <rPr>
        <sz val="12"/>
        <rFont val="Arial Narrow"/>
        <charset val="134"/>
      </rPr>
      <t xml:space="preserve">com saida do ponto do </t>
    </r>
    <r>
      <rPr>
        <b/>
        <u/>
        <sz val="12"/>
        <rFont val="Arial Narrow"/>
        <charset val="134"/>
      </rPr>
      <t>Shopping Pato Branco</t>
    </r>
  </si>
  <si>
    <r>
      <rPr>
        <sz val="12"/>
        <rFont val="Arial Narrow"/>
        <charset val="134"/>
      </rPr>
      <t xml:space="preserve">1. Na viagem das </t>
    </r>
    <r>
      <rPr>
        <b/>
        <u/>
        <sz val="12"/>
        <color rgb="FFFF0000"/>
        <rFont val="Arial Narrow"/>
        <charset val="134"/>
      </rPr>
      <t>05h55min</t>
    </r>
    <r>
      <rPr>
        <sz val="12"/>
        <rFont val="Arial Narrow"/>
        <charset val="134"/>
      </rPr>
      <t xml:space="preserve"> sentido Centro, inclui o atendimento ao Bairro Gralha Azul (</t>
    </r>
    <r>
      <rPr>
        <b/>
        <u/>
        <sz val="12"/>
        <rFont val="Arial Narrow"/>
        <charset val="134"/>
      </rPr>
      <t>Trevo da Patrola, Marginal da Avenida Tupi, Rua das Flores, Rua Princesa Isabel, Rua Jaury de Souza, Rua Ricieri Pastore, Rua Marcelino Parzianelo, Rua das Flores, Avenida Tupi, rota normal</t>
    </r>
    <r>
      <rPr>
        <sz val="12"/>
        <rFont val="Arial Narrow"/>
        <charset val="134"/>
      </rPr>
      <t>).</t>
    </r>
  </si>
  <si>
    <t>INCLUÍDO</t>
  </si>
  <si>
    <t>Linha 201 - Gralha Azul - Vibra</t>
  </si>
  <si>
    <t>P I 3, Rua Tamoio, Trevo Taísa, Trevo Patinho, PR-493, Vibra, PR-493, Trevo Patinho, BR-158, Rua Artibano Sutile, Rua Vitório Tiocheta, Rua Dionísio Daniel Sautier, Rua Celito Giacomel, Rua Pioneiro Victório Leonardi, Rua Melci Dalmolin, Rua Artibano Sutile, Rua Tocantins, Rua Itacolomi, Rua Caramuru, P I 1, Rua Tamoio, Av. Tupi, Rua Dr. Beltrão, Rua Santa Fé, Rua Industrial, Rua Fernando Ferrari, Rua Anchieta, Rua Fernando Ferrari, Rua Angelo Dal Bosco, Rua das Violetas, Rua Curitiba, Rua General Osório, Rua Tiradentes, Rua Princesa Isabel, Rua Jaury Heitor de Souza, Rua Riciere Pastore, Rua Marcelino Parzianello, Rua Princesa Isabel, Av. Tupi, Av. Brasil, Rua Xingú, Rua Tamoio, P I 2.</t>
  </si>
  <si>
    <t>Vibra</t>
  </si>
  <si>
    <t>P I 1 - Casa do Artesão           (Rua Caramuru)</t>
  </si>
  <si>
    <t>P I 2 - Casa do Artesão           (Rua Tamoio)</t>
  </si>
  <si>
    <t>P I 1, Rua Caramuru, Rua Tamoio, Av. Tupi, Marginal Av. Tupi, Rua das Flores, Rua Princesa Isabel, Rua Jaury Heitor de Souza, (Bairro Gralha Azul), Rua Riciere Pastore, Rua Marcelino Parzianello, Rua Princesa Isabel, Rua Tiradentes, General Osório, Rua Curitiba, Rua das Acácias, Rua Angelo Dal Bosco, Rua Fernando Ferrari, Rua Anchieta, Rua Fernando Ferrari, Rua Industrial, Rua Santa Fé, Rua Dr. Beltrão, Av. Tupi, Av. Brasil, Rua Xingú, Rua Tamoio, P I 3, Rua Tamoio, Rua Ararigbóia, Rua Tocantins, Rua Artibano Sutile, Rua Vitório Tiocheta, Rua Dionísio Daniel Sautier, Rua Celito Giacomel, Rua Pioneiro Victório Leonardi, Rua Melci Dalmolin, Rua Artibano Sutile, BR-158, PR 493, Vibra.</t>
  </si>
  <si>
    <t>P I 2 - Casa do Artesão          (Rua Tamoio)</t>
  </si>
  <si>
    <t>Carro 01</t>
  </si>
  <si>
    <t>Carro 02</t>
  </si>
  <si>
    <t>Linha 202 - Planalto - Vibra</t>
  </si>
  <si>
    <t>Ponto Rodoviária, Av. Brasil, Trevo Taísa, BR-158, Trevo Patinho, PR-493, Vibra, PR-493, UTFPR, Rua Irineu Parzianello, Rua Lídio Oltramari, Rua Clevelândia, Rua José Tato, Rua Martins Afonso de Souza, Marginal BR-158, Trevo Taísa, Rua Moacir de Jesus Martins, Rua Marco Penso, Rua Vinícius de Moaraes, Rua José Leonardi, Rua Irineu Bertani, Rua Mohammed Omar Awada, Rua dos Cardeais, Rua das Garças, Rua das Andorinhas, Rua Áurea Zandoná, Rua Augusto Saggin, Rua Abílio Parzianello, Rua Das Andorinhas, Rua Édimo Belmiro Pastro.</t>
  </si>
  <si>
    <t xml:space="preserve">Bairro Bela Vista </t>
  </si>
  <si>
    <t xml:space="preserve">Ponto Rodoviaria </t>
  </si>
  <si>
    <t>Ponto Rodoviária, Av. Brasil, Trevo Taísa, BR-158, Trevo Itacolomi, Marginal BR-158, Rua Édimo Belmiro Pastro, Rua das Andorinhas, Rua Áurea Zandoná, Rua Augusto Saggin, Rua Abílio Parzianello, Rua das Andorinhas, Rua das Garças, Rua dos Cardeais, Rua Mohammad Omar Awada, Rua Irineu Bertani, Rua José Leonardi, Rua Vinícius de Moraes, Rua Marco Penso, Rua Moacir de Jesus Martins, Marginal BR-158, Rua Martins Afonso de Souza, Rua José Tato, Rua José Fraron, Rua Lídio Oltramari, Rua lrineu Parzianello, Trevo UTFPR, PR-493, Vibra.</t>
  </si>
  <si>
    <t>Linha 205 - São Cristóvão - Centro - Vibra</t>
  </si>
  <si>
    <t>Ponto Rodoviária, Av. Brasil, Trevo Taísa, BR-158, Trevo Patinho, PR-493, Vibra, PR-493, Av. Tupi, Rua Tapir, Rua Caramuru, P I 1, Rua Tamoio, Av. Tupi, (Bairro São Cristóvão), Rua Alexandre Gusmão, Rua da Inconfidência, Rua Luiz Xavier, Rua Manoel Bandeira, Rua Vinte Um de Abril, Rua Érico Veríssimo, Rua Papa João XXIII, Av. Tupi, Rua Ribeirão Preto, Rua Taubaté, (Bairro São Roque), Rua Marília, Rua Terezinha Duarte, (Bairro Santa Fé), Rua Ivaí, (Bairro Vila Verde e Pinheirinho), Rua Lupicínio Rodrigues, Rua Amambaí, Rua Pedro José da Silva, Rua Iguatemi, Rua Genuíno Piacentini, (Bairro Santa Terezinha), Rua Xingú, Rua Tamoio, P I 2.</t>
  </si>
  <si>
    <t xml:space="preserve">Bairro São Cristóvão </t>
  </si>
  <si>
    <t>P I 2 - Casa do Artesão                     (Rua Caramuru)</t>
  </si>
  <si>
    <t xml:space="preserve">Ponto Rodoviária </t>
  </si>
  <si>
    <t>P I 1, Rua Caramuru, Rua Tamoio, Av. Tupi, Marginal Av. Tupi, (Bairro São Cristóvão), Rua Alexandre Gusmão, Rua da Inconfidência, Rua Luiz Xavier, Rua Manoel Bandeira, Rua Vinte Um de Abril, Rua Érico Veríssimo, Rua Papa João XXIII, Av. Tupi, Rua Ribeirão Preto, Rua Taubaté, (Bairro São Roque), Rua Marília, Rua Terezinha Duarte, (Bairro Santa Fé), Rua Ivaí, (Bairro Vila Verde e Pinheirinho), Rua Lupicínio Rodrigues, Rua Amambaí, Rua Pedro José da Silva, Rua Iguatemi, Rua Genuíno Piacentini, (Bairro Santa Terezinha), Rua Xingú, Rua Tamoio, P I 3, Rua Tamoio, Rua Ararigbóia, Rua Tocantins, Rua Jaciretã, Av. Tupi, PR-493, Vibra.</t>
  </si>
  <si>
    <t>P I 1 - Casa do Artesão                   (Rua Caramuru)</t>
  </si>
  <si>
    <t>P I 3 - Antiga Rodoviária                      (Rua Tamoio)</t>
  </si>
  <si>
    <t>Linha 206 - Centro Pq. Industrial 03 - Vibra</t>
  </si>
  <si>
    <t>P I 3, Rua Tamoio, Trevo Taísa, BR-158, Trevo Patinho, PR-493, Estrada Municipal, Vibra, PR-493, Trevo Patinho, Av. Tupi, Rua Tapir, Rua Caramuru, Rua Tamoio, P I 3, Rua Tamoio, Avenida Tupi, (Trevo da Patrola).</t>
  </si>
  <si>
    <t>P I 2 - Casa do Artesão (Rua Tamoio)</t>
  </si>
  <si>
    <t>P I 3, Rua Ararigbóia, Rua Tocantins, Rua Jaciretã, Av. Tupi, Trevo do Patinho, PR-493, Estrada Municipal, Vibra.</t>
  </si>
  <si>
    <t>PI 3 Antiga Rodoviária (Rua Tamoio)</t>
  </si>
  <si>
    <t>a partir do dia 13/03 carro MINI</t>
  </si>
  <si>
    <t>Rua Curitiba, Rua das Acácias, Rua Angelo Dal Bosco, Rua Fernando Ferrari, Rua Anchieta, Rua Fernando Ferrari, Rua Dr. Beltrão, Av. Tupi, Av. Brasil, Rua Xingú, Rua Tamoio, P I 3, Rua Ararigbóia, Rua Tocantins, Rua Jaciretã, Av. Tupi, Trevo do Patinho, PR-493, Estrada Municipal, Vibra.</t>
  </si>
  <si>
    <t>(Bairro Veneza) Rua Curitiba</t>
  </si>
  <si>
    <t>P I 2 Ponto Casa do Artesão           (Rua Tamoio)</t>
  </si>
  <si>
    <t>Vibra, Estrada Municipal, PR-493, Trevo Patinho, Av. Tupi, Rua Tapir, Rua Caramuru, Rua Tamoio, P I 3.</t>
  </si>
  <si>
    <t>Ponto Vibra</t>
  </si>
  <si>
    <t>PI 3 Antiga Rodoviária</t>
  </si>
  <si>
    <t>Rua Uruguaiana, (Supermercado Ponto Quente), Av. Tupi , Av. Brasil, Rua Xingú, Rua Tamoio, P I 3, Rua Ararigbóia, Rua Tocantins, Rua Jaciretã, Av. Tupi, Trevo do Patinho, PR-493, Estrada Municipal, Vibra.</t>
  </si>
  <si>
    <t>P I 1 Ponto Casa do Artesão              (Rua Caramuru)</t>
  </si>
  <si>
    <t>(Supermercado Ponto Quente)</t>
  </si>
  <si>
    <t>P I 2 Ponto Casa do Artesão            (Rua Tamoio)</t>
  </si>
  <si>
    <t>Linha 301 - Gralha Azul - Centro - Atlas</t>
  </si>
  <si>
    <t xml:space="preserve">P I 3, Rua Tamoio, Trevo da Taísa, BR-158, Atlas Eletrodomésticos, BR-158, Trevo Patinho, BR-158, Trevo Taísa, Rua Nereu Ramos, Rua Caramuru, P I 1, Rua Tamoio, Av. Tupi, Rua Uruguaiana, Rua Marechal Deodoro, Rua General Osório, Rua Tiradentes, Rua Princesa Isabel, Rua Jaury Heitor de Souza, (Bairro Gralha Azul), Rua Riciere Pastore, Rua Marcelino Parzianello, Rua Princesa Isabel, Av. Tupi, Av. Brasil, Rua Xingú, Rua Tamoio, P I 2. </t>
  </si>
  <si>
    <t>P I 3 - Ponto Antiga Rodoviária         (Rua Tamoio)</t>
  </si>
  <si>
    <t>Atlas Eletrodomésticos</t>
  </si>
  <si>
    <t>P I 1 - Ponto Casa do Artesão         (Rua Caramuru)</t>
  </si>
  <si>
    <t>P I 1, Rua Caramuru, Rua Tamoio, Av. Tupi, Marginal Av. Tupi, Rua das Flores, (Bairro Alvorada), Rua Jaury Heitor de Souza, (Bairro Gralha Azul), Rua Riciere Pastore, Rua Marcelino Parzianello, Rua Princesa Isabel, Av. Tupi, Bento Gonçalves, Rua das Hortências, Antônio Ascari, Rua Vicente Vieira Ferreira, Rua Fernando ferrari, Rua Dr. Beltrão, Av. Tupi, Av. Brasil, Rua Xingú, Rua Tamoio, P I 3, Rua Tamoio, Rua Farrapos, Av. Brasil, Trevo da Taísa, BR-158, ATLAS, BR-158, Trevo Taísa, Rua Nereu Ramos, Rua Caramuru, P I 2.</t>
  </si>
  <si>
    <t>P I 1 - Ponto Casa do Artesão           (Rua Caramuru)</t>
  </si>
  <si>
    <t>P I 3  - Ponto Antiga Rodoviária     (Rua Tamoio)</t>
  </si>
  <si>
    <t xml:space="preserve">P I 3, Rua Tamoio, Trevo da Taísa, BR-158, Atlas Eletrodomésticos, BR-158, Trevo Patinho, BR-158, Trevo Taísa, Rua Nereu Ramos, Rua Caramuru, P I 1, Rua Tamoio, Av. Tupi, Rua Dr. Beltrão, Rua Santa Fé, Rua Industrial, Rua Fernado Ferrari, Rua Anchieta, Rua Fernando Ferrari, Rua Angelo Dal Bosco, Rua das Violetas, Rua Curitiba, Rua General Osório, Rua Tiradentes, Rua Princesa Isabel, Rua Jaury Heitor de Souza, (Bairro Gralha Azul), Rua Riciere Pastore, Rua Marcelino Parzianello, Rua Princesa Isabel, Av. Tupi, Av. Brasil, Rua Xingú, Rua Tamoio, P I 2. </t>
  </si>
  <si>
    <t>P I 3 - Ponto Antiga Rodoviária        (Rua Tamoio)</t>
  </si>
  <si>
    <r>
      <rPr>
        <b/>
        <sz val="12"/>
        <color theme="1"/>
        <rFont val="Arial Narrow"/>
        <charset val="134"/>
      </rPr>
      <t>P I 1, Rua Caramuru, Rua Tamoio, Av. Tupi, Marginal Av. Tupi, Rua das Flores, (Bairro Alvorada), Rua Jaury Heitor de Souza, (Bairro Gralha Azul), Rua Riciere Pastore, Rua Marcelino Parzianello, Rua Princesa Isabel, Rua Tiradentes, Rua General Osório, Rua Curitiba, Rua das Acácias, Rua Angelo Dal Bosco, Rua Fernando Ferrari, Rua Anchieta, Rua Fernando Ferrari,  Rua Industrial, Rua Santa Fé, Rua Dr. Beltrão, Av. Tupi, Av. Brasil, Rua Xingú, Rua Tamoio, P I 3, Rua Tamoio, Trevo da Taísa</t>
    </r>
    <r>
      <rPr>
        <b/>
        <sz val="12"/>
        <rFont val="Arial Narrow"/>
        <charset val="134"/>
      </rPr>
      <t>, BR-158, Atlas Eletrodoméstico.</t>
    </r>
  </si>
  <si>
    <t>P I 1  - Ponto Casa do Artesão      (Rua Caramuru)</t>
  </si>
  <si>
    <t>P I 3 - Ponto Casa do Artesão       (Rua Tamoio)</t>
  </si>
  <si>
    <t>Atlas Eletrodomésticos, BR-158, Trevo Patinho, BR-158, Trevo Taísa,  Semafaro, Rua Paraná, Av. Tupi, Rua Princesa Izabel, Rua Jaury Heitor de Souza, (Bairro Gralha Azul), Rua Jaury Heitor de Souza, (Bairro Gralha Azul), Rua Riciere Pastore, Rua Marcelino Parzianello, Rua Princesa Izabel, Av. Tupi, Avenida Brasil, Rua Xingú, Rua Tamoio, P I 2.</t>
  </si>
  <si>
    <t xml:space="preserve">P I 3  Ponto Antiga Rodoviaria </t>
  </si>
  <si>
    <t>P I 1  Ponto Casa do Artesão</t>
  </si>
  <si>
    <t xml:space="preserve">Comercial </t>
  </si>
  <si>
    <t>Linha 301 - Gralha Azul - Centro - Atlas Eletrodomésticos (EXTRA)</t>
  </si>
  <si>
    <t xml:space="preserve">PI1 Rua Caramuru, Rua Tamoio, Avenida Tupi, Rua Princesa Izabel, Rua Tiradentes, Rua General Osorio, (Colégio Carlos Gomes), Rua Curitiba,  Rua das Violetas, Rua Angelo Dal Bosco, Rua Fernando Ferrari, Rua Anchieta, Rua Fernando Ferrari, Rua dr. Beltrão, Av. Tupi, Av. Brasil, Rua Xingu, Rua Tamoio, P I 3, Rua Tamoio, Rua Arrarigboia, Rua Tocantins, Rua Jaciretã, Av. Tupi, Trevo do Patinho, Br-158, Atlas, BR 158, Trevo Taisa, Rua Nereu Ramos, Rua Caramuru PI1. </t>
  </si>
  <si>
    <t>Bairro Santo Antonio</t>
  </si>
  <si>
    <t>P I 3  Ponto Casa do Artesão</t>
  </si>
  <si>
    <t>1º</t>
  </si>
  <si>
    <t>2º</t>
  </si>
  <si>
    <t>PI1 Rua Tamoio, Trevo da Taisa, Atlas Eletrodomésticos, BR-158, Trevo Patinho, Av. Tupi, Rua Tapir, Rua Caramuru, P I 1, Rua Tamoio, Av. Tupi, Rua Dr. Beltrão, Rua Fernado Ferrari, Rua Anchieta, Rua Fernando Ferrari, Rua Angelo Dal Bosco, Rua das Violetas, Rua Curitiba, Rua Marechal Deodoro, Rua Uruguaiana, Avenida Tupi, Avenida Brasil, Rua Xingu, Rua Tamoio PI2.</t>
  </si>
  <si>
    <t>P I 2  Ponto Casa do Artesão</t>
  </si>
  <si>
    <t>Linha 302 - Planalto - Atlas</t>
  </si>
  <si>
    <t>Ponto Rodoviária, Av. Brasil, Trevo Taísa, BR-158, Atlas Eletrodomésticos, BR-158, Trevo do Patinho, PR-493,  UTFPR, Rua Irineu Parzianello, Rua Lídio Oltramari, Rua Clevelândia, Rua José Tato, Rua Martins Afonso de Souza, Marginal BR-158, Trevo Taísa, Rua Moacir de Jesus Martins, Rua Marco Penso, Rua José Leonardi, Rua Irienu Bertani, Rua Mohammad Omar Awada, Rua dos Cardeais, Rua das Garças, Rua das Andorinhas, Rua Áurea Zandoná, Rua Augusto Saggin, Rua Abílio Parzianello, Rua das Andorinhas, Rua Édimo Belmiro Pastro.</t>
  </si>
  <si>
    <t xml:space="preserve">Bairro São João - Bairro Planalto                                    </t>
  </si>
  <si>
    <t xml:space="preserve">Rua Édimo Belmiro Pastro, Rua das Andorinhas, Rua Aurea Zandoná, Rua Augusto Sagim, Rua Abílio Parzianelo, Rua das Andorinhas, Rua Édimo Belmiro Pastro, Rua Beija Flor, Rua São Francisco de Assis, Rua dos Cardeais, Rua Mohammad Omar Awada, Rua Irineu Bertani, Rua José Leonardi, Rua Vinícius de Moraes, Rua Marco Penso, Rua Moacir de Jesus Martins, Marginal BR-158, Rua Ricardo Bortolo Tesser, Rua João Penso, Rua José Leonardi, Rua José Covaleski, Rua José Dalmolin, Marginal da BR-158, Trevo da Taísa, BR-158, Atlas Eletrodomésticos, BR-158, Trevo Taísa, Rua Nereu Ramos, Rua Caramuru, P I 1. </t>
  </si>
  <si>
    <t>(Bairro Planalto / Bela Vista)                     Rua Édimo Belmiro Pastro</t>
  </si>
  <si>
    <t>P I 1 - Casa do Artesão (Rua Caramuru)</t>
  </si>
  <si>
    <t>Rua Édimo Belmiro Pastro, Rua das Andorinhas, Rua Rua das Garças, Rua dos Cardeais,Rua das Siriemas, BR 158, Rua José Leonardi, Rua Vinícius de Moraes, Rua Marco Penso, Rua Moacir de Jesus Martins, Marginal BR-158, Rua Ricardo Bortolo Tesser, Rua João Penso, Rua José Leonardi, Rua Covaleski, Rua José Dalmolin, Rua Cristóvão Colombo, Rua Martins Afonso de Souza,  Rua José Tato, Rua Clevelândia, Rua Lídio Oltramari, Rua lrineu Parzianello, Trevo UTFPR,  PR-493, Trevo do Patinho, BR-158, Atlas Eletrodomésticos.</t>
  </si>
  <si>
    <t>Rua Édimo Belmiro Pastro</t>
  </si>
  <si>
    <t xml:space="preserve">Atlas Eletrodomésticos, BR-158, Trevo da Taísa, Marginal da BR-158, Rua Moacir de Jesus Martins, Rua Marco Penso, Rua José Leonardi, Rua Irineu Bertani, Rua Mohammad Omar Awada, Rua dos Cardeais, Rua São Francisco de Assis, Rua Beija Flor, Rua das Andorinhas, Rua Áurea Zandoná, Rua Augusto Sagin, Rua Abílio Parzianello, Rua das Andorinhas, Rua Édimo Belmiro Pastro. </t>
  </si>
  <si>
    <t>Linha 302 - Planalto - Atlas (EXTRA)</t>
  </si>
  <si>
    <t>Atlas Eletrodomésticos, BR-158, Trevo do Patinho, Marginal da BR-158, Trevo Taísa, Marginal da BR-158, Rua Nereu Ramos, Rua Caramuru, Rua Tamoio, P I 2 , Rua Tamoio, Rua Itacolomi, Trevo Itacolomi (Bairro Planalto), Marginal BR-158, Rua Maracanã, Rua das Araras, Rua das Garças, Rua dos Cardeais, Rua das Siriemas.</t>
  </si>
  <si>
    <t>(Bairro Planalro), Rua Maracanã, Rua das Araras, Rua das Garças, Rua dos Cardeais, Rua  Rua das Siriemas, Trevo Planalto, Marginal BR-158, Trevo Itacolomi, Rua Itacolomi, Rua Ubiratã, Rua Xingu, Rua Tamoio, P I 2, Rua Tamoio, Rua Arrarigboia, Rua Tocantins, Rua Jaciretã, Av. Tupi, Trevo do Patinho, Br-158, Atlas Eletrodomésticos.</t>
  </si>
  <si>
    <t>P I 3 - Antiga Rodoviária (Rua Tamoio)</t>
  </si>
  <si>
    <t>Mohammad Omar Awada, Rua dos Cardeais, Rua das Garças, Rua das Andorinhas, Rua Édimo Belmiro Pastro, Marginal BR 158, BR 158, Atlas</t>
  </si>
  <si>
    <t>verificar reaproveitamento vibra</t>
  </si>
  <si>
    <t>Atlas Eletrodomésticos, BR-158, Trevo do Patinho, PR-493,  UTFPR, Rua Irineu Parzianello, Rua Lídio Oltramari, Rua Clevelândia, Rua José Tato, Rua Martins Afonso de Souza, Marginal BR-158, Trevo Taísa, BR-158, Trevo Itacolomi, Marginal BR-158, (Bairro Planalto), Rua Maracanã, Rua das Araras, Rua das Garças, Rua dos Cardeais, Rua das Siriemas.</t>
  </si>
  <si>
    <t>Linha 304 - São Francisco - Centro - Atlas</t>
  </si>
  <si>
    <t>Rua Tamoio, P I 2, Trevo Taísa, BR-158, Atlas Eletrodomésticos, BR-158, Trevo Capeg, Rua Artibano Sutile, Rua Vitorino Chiocheta, Rua Dioniosio D. Sauthier, Rua Celito Giacomel, Rua Pioneiro Victorio Leonardi, Rua Melci Dalmolin, Rua Artibano Sutili, Rua Tocantins, Rua Carmela Bortot, Rua Ambrósio Bez, Rua Arthur Bernardi, Avenida das Torres, Rua Itapuã, Rua Araribóia, Rua Maria Bombarda Oldoni, Estrada Municipal Pioneiro Sadi P. Viganó, Rua Industrial, Rua Fernado Ferrari, Rua Anchieta, Rua Fernando Ferrari, Rua Angelo Dal Bosco, Rua das Violetas, Rua Curitiba.</t>
  </si>
  <si>
    <t>P I 2 - Ponto Casa do Artesão           (Rua Tamoio)</t>
  </si>
  <si>
    <t>Ponto Rua Artibano Sutile</t>
  </si>
  <si>
    <t>Rua Anchieta (Bairro Bonato)</t>
  </si>
  <si>
    <t>PI 2 Rua Tamoio, Trevo Taisa, Br 158, Trevo Capeg, Rua Artibano Sutile, Rua Vitorino Chiocheta, Rua Dioniosio D. Sauthier, Rua Celito Giacomel, Rua Pioneiro Victorio Leonardi, Rua Melci Dalmolin, Rua Artibano Sutili, Rua Tocantins, Rua Carmela Bortot, Rua Ambrósio Bez, Rua Arthur Bernardi, Estrada Municipal, Rua Itapuã, Rua Ambrósio Bez, Rua Arthur Bernardi, Avenida das Torres, Rua Itapuã, Rua Ararriboia, Ponto em frente à TV, Rua Maria Bombarda Oldoni, Rua Lídio Guerra, Rua André Borsoi, Rua Pioneiro Alberto Braun, Rua Itapuã, Rua Itacolomi, Rua Tamoio, P I 3, Rua Tamoio, Rua Arrarigboia, Rua Tocantins, Rua Jaciretã, Av. Tupi, Trevo do Patinho, Br-158, Atlas Eletrodomésticos, BR 158, Trevo Taisa, Rua Nereu Ramos, Rua Caramuru PI 1.</t>
  </si>
  <si>
    <t>PI 3 Casa do Artesão</t>
  </si>
  <si>
    <t>Ponto Rua Artibano Sutili</t>
  </si>
  <si>
    <t>Atlas Eletrodoméstico</t>
  </si>
  <si>
    <t>Atlas Eletrodomésticos, BR-158, Trevo Patinho, Br-158,Trevo do Patinho, Avenida Tupi, Rua Tapir, Rua Caramuru, P I 1, Rua Tamoio, Av. Tupi, Rua Dr. Beltrão, Rua Santa Fé, Rua Industrial, Rua Fernado Ferrari, Rua Anchieta, Rua Fernando Ferrari, Rua Dr Beltrão, Avenida Tupi, Avenida Brasil, Rua Xingu, Rua Tamoio, PI 2</t>
  </si>
  <si>
    <t xml:space="preserve">Atlas Eletrodomésticos </t>
  </si>
  <si>
    <t>PI 1 Casa do Artesão</t>
  </si>
  <si>
    <t>Rua Anchieta ( Bairro Bonato)</t>
  </si>
  <si>
    <t>PI 2 Casa do Artesão</t>
  </si>
  <si>
    <t>Linha 305 - São Cristóvão - Atlas</t>
  </si>
  <si>
    <t>Av. Brasil, Ponto Rodoviária, Trevo Taísa, BR-158, Atlas Eletrodomésticos, BR-158, Trevo Patinho, Av. Tupi, Rua Tapir, Rua Caramuru, P I 1, Rua Tamoio, Av. Tupi, (Bairro São Cristóvão), Rua Alexandre Gusmão, Rua da Inconfidência, Rua Luiz Xavier, Rua Manoel Bandeira, Rua Vinte Um de Abril, Rua Érico Verissimo, Rua Papa João XXIII, Rua Manoel Bandeira, Rua Ribeirão Preto, Rua Taubaté, (Bairro São Roque), Rua Marília, Rua Terezinha Duarte, (Bairro Santa Fé), Rua Ivaí, (Bairro Vila Verde e Pinheirinho), Rua Lupicínio Rodrigues, Rua Amambaí, Rua Iguatemi, Rua Genuíno Piacentini, (Bairro Santa Terezinha), Rua Xingú, Rua Tamoio, P I 2.</t>
  </si>
  <si>
    <t>P I 1 - Casa do Artesão              (Rua Caramuru)</t>
  </si>
  <si>
    <t>Bairro São Cristovão                (Rua Alexandre Gusmão)</t>
  </si>
  <si>
    <t xml:space="preserve">P I 2 - Casa do Artesão           (Rua Tamoio) </t>
  </si>
  <si>
    <t xml:space="preserve">Rua Caramuru PI 1, Rua Tamoio, Avenida Tupi Marg Avenida Tupi, (Bairro São Cristóvão), Rua Alexandre Gusmão, Rua da Inconfidência, Rua Luiz Xavier, Rua Manoel Bandeira, Rua Vinte Um de Abril, Rua Érico Verissimo, Rua Papa João XXIII, Av. Tupi, Rua Ribeirão Preto, Rua Taubaté (Bairro São Roque), Rua Marília, Rua Terezinha Duarte (Santa Fé), Rua Ivaí (Bairro Vila Verde e Pinheirinho), Rua Lupicínio Rodrigues, Rua Amambaí, Rua Iguatemi, Rua Genuíno Piacentini (Bairro Santa Terezinha), Rua Xingu, Rua Tamoio, P I 2, Rua Tamoio, Rua Arrarigboia, Rua Tocantins, Rua Jaciretã, Av. Tupi, Trevo do Patinho, Br-158, Atlas Eletrodomésticos, BR 158, Trevo Taisa, Rua Nereu Ramos, Rua Caramuru PI 1 </t>
  </si>
  <si>
    <t>P I 1 (Ponto Casa do Artesão)</t>
  </si>
  <si>
    <t>P I 3 (Antiga Rodoviaria)</t>
  </si>
  <si>
    <t xml:space="preserve">Atlas Eletrodomésticos, BR-158, Trevo Patinho, Av. Tupi, Rua Tapir, Rua Caramuru, P I 1, Rua Tamoio, Avenida Tupi, (Bairro São Cristóvão), Rua Alexandre Gusmão, Rua da Inconfidência, Rua Luiz Xavier, Rua Manoel Bandeira, Rua Vinte Um de Abril, Rua Érico Verissimo, Rua Papa João XXIII, Av. Tupi, Avenida Brasil, Rua Xingu, Rua Tamoio, PI 2. </t>
  </si>
  <si>
    <t>Bairro São Cristóvão (Rua Alexandre Gusmão)</t>
  </si>
  <si>
    <t>P I 2 (Ponto Casa do Artesão)</t>
  </si>
  <si>
    <t>Linha 305 - São Cristóvão - Atlas (EXTRA)</t>
  </si>
  <si>
    <t>Atlas Eletrodomésticos, BR-158, Trevo Patinho, Av. Tupi, Rua Tapir, Rua Caramuru, P I 1,  Rua Tamoio, Rua Xavantes, Rua Genuino Piacentine, Rua Iguatemi, Rua Amambai, Rua Lupcionio Rodrigues, Rua Wilibat, Rua Riberão Preto, Rua Taubaté, Rua Marilia, Rua Terezinha Duarte, Rua Ivai, Rua Iguatemi, Avenida Tupi, Avenida Brasil, Rua Xingu, Rua Tamoio PI 2.</t>
  </si>
  <si>
    <t>Rua Marilia ( Bairro São Roque)</t>
  </si>
  <si>
    <t xml:space="preserve"> Linha 306 - Centro - Pq. Industrial 02</t>
  </si>
  <si>
    <t>PI2, Rua Tamoio,Trevo da Taísa, BR-158, Atlas Eletrodomésticos, BR-158 Trevo Patinho, Av. Tupi, Rua Tapir, Rua Caramuru, PI1, Rua Tamoio, Avenida Tupi, Trevo da Patrola.</t>
  </si>
  <si>
    <t>Trevo da Patrola</t>
  </si>
  <si>
    <t>PI1, Rua Caramuru, Rua Tamoio, Avenida Tupi, Rua Dr. Beltrão, Rua Fernando Ferrari, Rua Anchieta, Rua Fernando Ferrari, Rua Industrial, Rua Santa Fé,Rua Dr. Beltrão, Av. Tupi, Av. Brasil, Rua Xingú, Rua Tamoio, P I 3, Rua Tamoio, Rua Farrapos, Av. Brasil, Trevo da Taísa, BR-158, ATLAS, BR-158, Trevo Taísa, Rua Nereu Ramos, Rua Caramuru, P I 2.</t>
  </si>
  <si>
    <t>Bairro Bonato</t>
  </si>
  <si>
    <t>P I 3 Antiga rodoviária</t>
  </si>
  <si>
    <t>P I 3, Rua Tamoio, Rua Ararigbóia, Rua Tocantins, Rua Jaciretã, Av. Tupi, Trevo Patinho, BR-158, Atlas Eletrodomésticos.</t>
  </si>
  <si>
    <t>C</t>
  </si>
  <si>
    <t>Menor aprendiz</t>
  </si>
  <si>
    <t>Trevo Patrola, Marginal Av. Tupi,  Av. Tupi, Rua Bento Gonçalves, Rua Marechal Deodoro, Rua Curitiba, Rua das Violetas, Rua Bento Gonçalves, Rua Marechal Deodoro, Rua Uruguaiana, Avenida Tupi, Av. Brasil, Rua Xingú, Rua Tamoio, P I 3 (Antiga Rodoviária),  Rua Tamoio, Rua Ararigbóia, Rua Tocantins, Rua Jaciretã, Av. Tupi, Trevo Patinho, BR-158, Atlas Eletrodomésticos.</t>
  </si>
  <si>
    <t>P I 3  Ponto Casa do Artesão             (Rua Tamoio)</t>
  </si>
  <si>
    <t>P I 1 (Ponto Casa do Artesão) Rua Caramuru, Rua Tamoio, Avenida Tupi, Trevo da Patrola,  Avenida Tupi, Marginal da Avenida Tupi, Avenida Tupi, Avenida Brasil, Rua Xingu, Rua Tamoio, P I 3, Rua Tamoio, Rua Ararigbóia, Rua Tocantins, Rua Jaciretã, Av. Tupi, Trevo Patinho, BR-158, Atlas Eletrodomésticos.</t>
  </si>
  <si>
    <t xml:space="preserve">PI2, Rua Tamoio,Trevo da Taísa, BR-158, Atlas Eletrodomésticos, BR-158, Trevo Patinho,  BR-       158,TrevoTaísa,Rua Nereu Ramos, Rua Caramuru, PI1, RuaTamoio,Av.Tupi, Rua Uruguaiana, Rua Marechal Deodoro, Rua General Osório, Rua Tiradentes, Rua Princesa Izabel, Avenida Tupi, Avenida Brasil, Rua Tamoio, PI2 </t>
  </si>
  <si>
    <t>Atlas Eletrodomésticos, BR-158 Trevo Patinho, Av. Tupi, Rua Tapir, Rua Caramuru, Rua Itacolomi, Rua Tamoio, P I 3.</t>
  </si>
  <si>
    <t xml:space="preserve"> Linha X Viagens X KM </t>
  </si>
  <si>
    <t xml:space="preserve">REFERÊNCIA </t>
  </si>
  <si>
    <t xml:space="preserve">TRAJETOS </t>
  </si>
  <si>
    <t>KM TRAJETO</t>
  </si>
  <si>
    <t xml:space="preserve"> VIAGENS PROGRAMADAS MÊS</t>
  </si>
  <si>
    <t xml:space="preserve">DIAS TRABALHADOS AO MÊS </t>
  </si>
  <si>
    <t xml:space="preserve">TOTAL VIAGENS MÊS </t>
  </si>
  <si>
    <t xml:space="preserve">TOTAL KM MÊS </t>
  </si>
  <si>
    <t xml:space="preserve">SEGUNDA - FEIRA À SEXTA FEIRA </t>
  </si>
  <si>
    <t>GRALHA - CENTRO - UTFPR - FADEP</t>
  </si>
  <si>
    <t>UTFPR - FADEP - CENTRO GRALHA AZUL</t>
  </si>
  <si>
    <t>UTFPR - FADEP - CENTRO</t>
  </si>
  <si>
    <t>CENTRO GRALHA AZUL</t>
  </si>
  <si>
    <t>GRALHA   - CENTRO - GRANJA - UTFPR FADEP</t>
  </si>
  <si>
    <t>TOTAL</t>
  </si>
  <si>
    <t>ENCRUZILHADA - CENTRO - UTFPR UNIDEP</t>
  </si>
  <si>
    <t>UTFPR FADEP - CENTRO - ENCRUZILHADA</t>
  </si>
  <si>
    <t>ENCRUZILHADA - CENTRO -  GRANJA - UTFPR UNIDEP</t>
  </si>
  <si>
    <t>CENTRO - UTFPR UNIDEP</t>
  </si>
  <si>
    <t xml:space="preserve">ENCRUZILHADA - CENTRO </t>
  </si>
  <si>
    <t>UTFPR UNIDEP - CENTRO</t>
  </si>
  <si>
    <t>UTFPR UNIDEP - CENTRO - TREVO PATROLA</t>
  </si>
  <si>
    <t xml:space="preserve">PATROLA - CENTRO </t>
  </si>
  <si>
    <t>GRALHA - CENTRO - TAPIR</t>
  </si>
  <si>
    <t>TAPIR - CENTRO - GRALHA</t>
  </si>
  <si>
    <t>GRALHA - CENTRO</t>
  </si>
  <si>
    <t xml:space="preserve">CENTRO - GRALHA AZUL </t>
  </si>
  <si>
    <t xml:space="preserve">CARRO </t>
  </si>
  <si>
    <t>VENEZA - CENTRO - UTFPR FADEP</t>
  </si>
  <si>
    <t>UTFPR FADEP - CENTRO - VENEZA</t>
  </si>
  <si>
    <t>CENTRO - VENEZA</t>
  </si>
  <si>
    <t xml:space="preserve">VENEZA - CENTRO </t>
  </si>
  <si>
    <t>CENTRO - UTFPR FADEP</t>
  </si>
  <si>
    <t>SÃO CRISTÓVÃO - CENTRO - RODOVIÁRIA</t>
  </si>
  <si>
    <t>RODOVIÁRIA - CENTRO - SÃO CRISTÓVÃO</t>
  </si>
  <si>
    <t xml:space="preserve">RODOVIÁRIA - CENTRO - SÃO CRISTÓVÃO - SÃO CRISTÓVÃO </t>
  </si>
  <si>
    <t xml:space="preserve">PLANALTO - CENTRO - TAPIR  </t>
  </si>
  <si>
    <t>TAPIR  - PLANALTO</t>
  </si>
  <si>
    <t xml:space="preserve">PLANALTO - TREVO DA GUEPARDO - CENTRO - TAPIR  </t>
  </si>
  <si>
    <t xml:space="preserve">PLANALTO - CENTRO </t>
  </si>
  <si>
    <t>SÃO JOÃO - PAULO AFONSO - BELA VISTA - CENTRO</t>
  </si>
  <si>
    <t>CENTRO - BELA VISTA - PAULO AFONSO - SÃO JOÃO</t>
  </si>
  <si>
    <t>SÃO JOÃO - PLANALTO - CENTRO</t>
  </si>
  <si>
    <t>SÃO ROQUE - VILA VERDE - CENTRO - VILA ESPERANÇA</t>
  </si>
  <si>
    <t>VILA ESPERANÇA - CENTRO - SÃO ROQUE</t>
  </si>
  <si>
    <t>SÃO ROQUE - VILA VERDE - CENTRO - AEROPORTO - VILA ESPERANÇA</t>
  </si>
  <si>
    <t>SÃO ROQUE - VILA VERDE - CENTRO</t>
  </si>
  <si>
    <t>CENTRO - SÃO ROQUE</t>
  </si>
  <si>
    <t>VILA ESPERANÇA - CENTRO</t>
  </si>
  <si>
    <t>CENTRO - VILA ESPERANÇA</t>
  </si>
  <si>
    <t xml:space="preserve"> Linha 118 - Shopping Pato Branco - UTFPR - Centro</t>
  </si>
  <si>
    <t>SHOPPING - TREVO PATINHO - CENTRO - GRALHA AZUL - VENEZA</t>
  </si>
  <si>
    <t>VENEZA - CENTRO - SHOPPING</t>
  </si>
  <si>
    <t>VENEZA - CENTRO</t>
  </si>
  <si>
    <t>SHOPPING -SÃO FRANCISCO - TREVO PATINHO - VILA ESPERANÇA - PLANALTO</t>
  </si>
  <si>
    <t>PLANALTO - CENTRO - SHOPPING</t>
  </si>
  <si>
    <t>SÃO FRANCISCO - CAPEG - CENTRO</t>
  </si>
  <si>
    <t>CENTRO - SHOPPING - SÃO FRANCISCO</t>
  </si>
  <si>
    <t>SÃO FRANCISCO - SHOPPING - CENTRO</t>
  </si>
  <si>
    <t>SÃO FRANCISCO - CENTRO (VIA TOCANTINS)</t>
  </si>
  <si>
    <t xml:space="preserve">Sabado / Domingos / Feriados </t>
  </si>
  <si>
    <t>Vibra, PR-493, Trevo Patinho, Av. Tupi, Rua Tapir, Rua Caramuru, P I 1, Rua Tamoio, Av. Tupi, Rua Dr. Beltrão, Rua Santa Fé, Rua Industrial, Rua Fernando Ferrari, Rua Anchieta, Rua Fernando Ferrari, Rua Angelo Dal Bosco, Rua das Violetas, Rua Curitiba, Rua General Osório, Rua Tiradentes, Rua Princesa Isabel, Rua Jaury Heitor de Souza, Rua Riciere Pastore, Rua Marcelino Parzianello, Rua Princesa Isabel, Av. Tupi, Av. Brasil, Rua Xingú, Rua Tamoio, P I 2.</t>
  </si>
  <si>
    <t>P I 1 - Casa do Artesão            (Rua Caramuru)</t>
  </si>
  <si>
    <t>Vibra, PR-493, Trevo Patinho, Av. Tupi, Rua Tapir, Rua Caramuru, Rua Tamoio, P I 2, Rua Tamoio, Rua Itacolomi, Trevo Itacolomi, Marginal BR-158, Rua Édimo Belmiro Pastro,  Rua das Andorinhas, (Bairro Paulo Afonso)Rua Aurea Zandona, Rua Augusto Saggin, Rua Abilio Parzianello, Rua Das Andorinhas,  Rua das Garças, Rua dos Cardeais, (bairro Alto da Glória) Rua Mohamad Homar Awada, (Bairro São João, Bairro Vila São Pedro),  Rua Clarice Recalcati, Rua Sadi Bertol, Rua Clarice Recalcati, Rua Mohamad Homar Awada, Rua dos Cardeais, Rua das Seriemas, Trevo Planalto</t>
  </si>
  <si>
    <t>P I 2 - Casa do Artesão            (Rua Tamoio)</t>
  </si>
  <si>
    <t>Vibra, PR-493, Trevo Patinho, Av. Tupi, Rua Tapir, Rua Caramuru, P I 1, Rua Tamoio, Av. Tupi, Trevo da Patrola, PR-280, Trevo da Carrani, BR-158, Trevo da Guepardo Marginal da BR-158, Rua das Araras, Rua das Garças, Rua dos Cardeais, Rua Mohamad Homar Awada.</t>
  </si>
  <si>
    <t xml:space="preserve">São João </t>
  </si>
  <si>
    <t>CENTRO - VIBRA (VIA AVENIDA TUPI)</t>
  </si>
  <si>
    <t>FERIADOS</t>
  </si>
  <si>
    <t>VIBRA - CENTRO - INDUSTRIAL - VENEZA - GRALHA AZUL</t>
  </si>
  <si>
    <t xml:space="preserve">GRALHA AZUL - CENTRO </t>
  </si>
  <si>
    <t>VIBRA  - CENTRO</t>
  </si>
  <si>
    <t>VIBRA - CENTRO - TREVO DA PATROLA - PLANALTO - SÃO JOÃO</t>
  </si>
  <si>
    <t>VIBRA - CENTRO - SÃO JOÃO - PLANALTO</t>
  </si>
  <si>
    <t>RESUMO VIAGENS X KM X HORAS</t>
  </si>
  <si>
    <t xml:space="preserve"> VIAGENS PROGRAMADAS DIA</t>
  </si>
  <si>
    <t xml:space="preserve">TOTAL KM DIA </t>
  </si>
  <si>
    <t xml:space="preserve">TOTAL DE HORAS DIA </t>
  </si>
  <si>
    <t xml:space="preserve">Domingos / Feriados </t>
  </si>
  <si>
    <r>
      <rPr>
        <b/>
        <sz val="12"/>
        <color theme="1"/>
        <rFont val="Arial Narrow"/>
        <charset val="134"/>
      </rPr>
      <t>P I 1, Rua Caramuru, Rua Tamoio, Av. Tupi, Marginal Av. Tupi, Rua das Flores, (Bairro Alvorada), Rua Jaury Heitor de Souza, (Bairro Gralha Azul), Rua Riciere Pastore, Rua Marcelino Parzianello, Rua Princesa Isabel, Av. Tupi, Av. Brasil, Rua Xingú, Rua Tamoio, P I 3,</t>
    </r>
    <r>
      <rPr>
        <b/>
        <sz val="12"/>
        <rFont val="Arial Narrow"/>
        <charset val="134"/>
      </rPr>
      <t xml:space="preserve"> Rua Tamoio, Rua Farrapos, Av. Brasil, Trevo da Taísa, Marginal da BR-158, Rua Martins Afonso de Souza, Rua José Tato, Rua Clevelândia, Rua Lídio Oltramari, Rua lrineu Parzianello, Trevo UTFPR,  PR-493, Trevo do Patinho, BR-158, ATLAS, BR-158, Trevo Taísa, Rua Nereu Ramos, Rua Caramuru, P I 2.</t>
    </r>
  </si>
  <si>
    <t>P I 1 - Ponto Casa do Artesão       (Rua Caramuru)</t>
  </si>
  <si>
    <t>Rua Princesa Izabel, Rua Presidente Jucelino, Rua General Osorio, (Colégio Carlos Gomes), Rua Curitiba,  Rua das Violetas, Rua Angelo Dal Bosco, Rua Fernando Ferrari, Rua Anchieta, Rua Fernando Ferrari, Rua Industrial, Rua Santa Fé, Rua Dr. Beltrão, Av. Tupi, Av. Brasil, Rua Xingu, Rua Tamoio, P I 3.</t>
  </si>
  <si>
    <t xml:space="preserve">P I 2, Rua Tamoio, Rua Itacolomi, Trevo Itacolomi, Marginal BR-158, Rua Édimo Belmiro Pastro, Rua das Andorinhas, Rua Aurea Zandoná, Rua Augusto Sagim, Rua Abílio Parzianelo, Rua das Andorinhas, Rua Édimo Belmiro Pastro, Rua Beija Flor, Rua São Francisco de Assis, Rua dos Cardeais, Rua Mohammad Omar Awada, Rua Irineu Bertani, Rua José Leonardi, Rua Vinícius de Moraes, Rua Marco Penso, Rua Moacir de Jesus Martins, Marginal BR-158, Rua Ricardo Bortolo Tesser, Rua João Penso, Rua José Leonardi, Rua José Covaleski, Rua José Dalmolin, Marginal da BR-158, Trevo da Taísa, BR-158, Atlas Eletrodomésticos, BR-158, Trevo Taísa, Rua Nereu Ramos, Rua Caramuru, P I 1. </t>
  </si>
  <si>
    <t>P I 2 - Ponto Casa do Artesão       (Rua Tamoio)</t>
  </si>
  <si>
    <t>(Bairro Planalto), Rua Maracanã, Rua das Araras, Rua das Garças, Rua dos Cardeais, Rua  Rua das Siriemas, Trevo Planalto, Marginal BR-158, Trevo Itacolomi, Rua Itacolomi, Rua Ubiratã, Rua Xingú, Rua Tamoio, P I 2, Rua Ararigbóia, Rua Tocantins, Rua Jaciretã, Av. Tupi, Trevo do Patinho, BR-158, Atlas Eletrodomésticos, BR-158, Trevo Taísa, Rua Nereu Ramos, Rua Caramuru, P I 1.</t>
  </si>
  <si>
    <t>Rua Artibano Sutile, Rua Vitorino Chiocheta, Rua Dioniosio D. Sauthier, Rua Celito Giacomel, Rua Pioneiro Victorio Leonardi, Rua Melci Dalmolin, Rua Artibano Sutili, Rua Tocantins, Rua Carmela Bortot,  Rua Ambrósio Bez, Rua Arthur Bernardi, Estrada Municipal, Rua Itapuã, Rua Ambrósio Bez, Rua Arthur Bernardi, Avenida das Torres, Rua Itapuã, Rua Ararriboia, Ponto em frente à TV, Rua Maria Bombarda Oldoni, Rua Lídio Guerra, Rua André Borsoi, Rua Pioneiro Alberto Braun, Rua Itapuã, Rua Itacolomi, Rua Tamoio P I 3.</t>
  </si>
  <si>
    <t xml:space="preserve">Rua Caramuru PI 1, Rua Tamoio, Avenida Tupi, Marginal Avenida Tupi, (Bairro São Cristóvão), Rua Alexandre Gusmão, Rua da Inconfidência, Rua Luiz Xavier, Rua Manoel Bandeira, Rua Vinte Um de Abril, Rua Érico Verissimo, Rua Papa João XXIII, Av. Tupi, Rua Ribeirão Preto, Rua Taubaté (Bairro São Roque), Rua Marília, Rua Terezinha Duarte (Santa Fé), Rua Ivaí (Bairro Vila Verde e Pinheirinho), Rua Lupicínio Rodrigues, Rua Amambaí, Rua Iguatemi, Rua Genuíno Piacentini (Bairro Santa Terezinha), Rua Xingu, Rua Tamoio, P I 2, Rua Tamoio, Rua Arrarigboia, Rua Tocantins, Rua Jaciretã, Av. Tupi, Trevo do Patinho, BR-158, Atlas Eletrodomésticos, BR 158, Trevo Taisa, Rua Nereu Ramos, Rua Caramuru PI 1 </t>
  </si>
  <si>
    <t xml:space="preserve">P I 1, Rua Tamoio, Trevo da Taísa, BR-158, Atlas Eletrodomésticos, BR-158, Trevo Patinho, BR-158, Trevo Taísa, Rua Nereu Ramos, Rua Caramuru, P I 1, Rua Tamoio, Av. Tupi, Rua Dr. Beltrão, Rua Santa Fé, Rua Industrial, Rua Fernado Ferrari, Rua Anchieta, Rua Fernando Ferrari, Rua Angelo Dal Bosco, Rua das Violetas, Rua Curitiba, Rua General Osório, Rua Tiradentes, Rua Princesa Isabel, Rua Jaury Heitor de Souza, (Bairro Gralha Azul), Rua Riciere Pastore, Rua Marcelino Parzianello, Rua Princesa Isabel, Av. Tupi, Av. Brasil, Rua Xingú, Rua Tamoio, P I 2. </t>
  </si>
  <si>
    <t>Atlas Eletrodomésticos, BR-158, Trevo do Patinho, PR-493,  UTFPR, Rua Irineu Parzianello, Rua Lídio Oltramari, Rua Clevelândia, Rua José Tato, Rua Martins Afonso de Souza, Marginal BR-158, Trevo Taísa, Rua Moacir de Jesus Martins, Rua Marco Penso, Rua José Leonardi, Rua Irienu Bertani, Rua Mohammad Omar Awada, Rua dos Cardeais, Rua das Garças, Rua das Andorinhas, Rua Áurea Zandoná, Rua Augusto Saggin, Rua Abílio Parzianello, Rua das Andorinhas, Rua Édimo Belmiro Pastro, Trevo Planalto.</t>
  </si>
  <si>
    <t>GRALHA - CENTRO - FRARON - ATLAS</t>
  </si>
  <si>
    <t>ATLAS - CENTRO</t>
  </si>
  <si>
    <t>SANTO ANTÔNIO - VENEZA - INDUSTRIAL - CENTRO</t>
  </si>
  <si>
    <t>BELA VISTA - PAULO AFONSO - SÃO JOÃO - VILA ESPERANÇA - ATLAS</t>
  </si>
  <si>
    <t>CENTRO - BELLA VISTA</t>
  </si>
  <si>
    <t xml:space="preserve">PLANALTO - CENTRO - ATLAS </t>
  </si>
  <si>
    <t xml:space="preserve">SÃO FRANCISCO - SÃO LUIZ - LA SALLE - CENTRO </t>
  </si>
  <si>
    <t>SÃO CRISTÓVÃO -  SÃO ROQUE - VILA VERDE - CENTRO - ATLAS</t>
  </si>
  <si>
    <t xml:space="preserve">CENTRO - SÃO CRISTOVÃO </t>
  </si>
  <si>
    <t>ATLAS - CENTRO - INDUSTRIAL - SÃO VISCENTE - VENEZA - GRALHA</t>
  </si>
  <si>
    <t xml:space="preserve">ATLAS - FRARON - VILA ESPERANÇA - SÃO JOÃO - PLANALTO - PAULO AFONSO - BELA VISTA  </t>
  </si>
  <si>
    <t>ATENDIMENTO NOS FERIADOS - TEM Q IR NOS BAIRROS</t>
  </si>
  <si>
    <t>DADOS OPERACIONAIS</t>
  </si>
  <si>
    <t>LINHAS COMERCIAIS</t>
  </si>
  <si>
    <t>LINHAS INDUSTRIAIS</t>
  </si>
  <si>
    <t xml:space="preserve">Dias Uteis </t>
  </si>
  <si>
    <t xml:space="preserve">Sábado </t>
  </si>
  <si>
    <t>Domingo / Feriado</t>
  </si>
  <si>
    <t>VIBRA AGROINDUSTRIAL S.A</t>
  </si>
  <si>
    <t>ATLAS INDUSTRIA DE ELETRODOMESTICOS LTDA.</t>
  </si>
  <si>
    <t xml:space="preserve">Escala Extra </t>
  </si>
  <si>
    <t>1 º Turno</t>
  </si>
  <si>
    <t>2 º Turno</t>
  </si>
  <si>
    <t>Comercial Extra</t>
  </si>
  <si>
    <t xml:space="preserve">LINHAS </t>
  </si>
  <si>
    <t xml:space="preserve"> VIAGENS AO DIA</t>
  </si>
  <si>
    <t xml:space="preserve"> VIAGENS AO MÊS</t>
  </si>
  <si>
    <t>TOTAL VIAGENS MÊS</t>
  </si>
  <si>
    <t>KM AO DIA</t>
  </si>
  <si>
    <t xml:space="preserve"> KM MÊS</t>
  </si>
  <si>
    <t>TOTAL KM MÊS</t>
  </si>
  <si>
    <t xml:space="preserve">Sabado </t>
  </si>
  <si>
    <t>Domingo</t>
  </si>
  <si>
    <t>Escala Extra</t>
  </si>
  <si>
    <t>Linha 101 - Gralha Azul - Parque Industrial</t>
  </si>
  <si>
    <t xml:space="preserve"> Linha 102 - Avenida Tupi - UTFPR - FADEP</t>
  </si>
  <si>
    <t>Linha 103 - Alvorada - Centro</t>
  </si>
  <si>
    <t>Linha 105 - La Salle</t>
  </si>
  <si>
    <t>Linha 107 - Veneza - Parque Industrial Teophilo Petrikoski</t>
  </si>
  <si>
    <t xml:space="preserve"> Linha 110 - São Cristovão - Terminal Rodoviário</t>
  </si>
  <si>
    <t xml:space="preserve"> Linha 111 - Fraron</t>
  </si>
  <si>
    <t>Linha 112 - Planalto - Centro (via Rua Xingu)</t>
  </si>
  <si>
    <t>Linha 113 - São João - Bela Vista -  Paulo Afonso</t>
  </si>
  <si>
    <t xml:space="preserve"> Linha 114 - São Roque - Vila Verde - Vila Esperança</t>
  </si>
  <si>
    <t>Linha 115 - Planalto - Centro (via Terminal Rodoviário)</t>
  </si>
  <si>
    <t xml:space="preserve"> Linha 116 - Nova Espero</t>
  </si>
  <si>
    <t>Linha 119 - São Francisco - São Luiz</t>
  </si>
  <si>
    <t xml:space="preserve">TOTAL </t>
  </si>
  <si>
    <t>TOTAL   VIAGENS MÊS</t>
  </si>
  <si>
    <t>Linha 205 -  São Cristóvão - Vibra</t>
  </si>
  <si>
    <t>Linha 206 - Centro PQ Industrial 02 (Vibra)</t>
  </si>
  <si>
    <t>Linha 301 - Gralha Azul - Atlas</t>
  </si>
  <si>
    <t>Linha 301 - Gralha Azul - Centro - Atlas (EXTRA)</t>
  </si>
  <si>
    <t>Linha 302 - Planalto - Atlas (extra)</t>
  </si>
  <si>
    <t>Linha 304 - São Francisco - Atlas</t>
  </si>
  <si>
    <t xml:space="preserve"> Linha 306 - Centro  - PQ Industrial 03 (Atlas)</t>
  </si>
  <si>
    <t xml:space="preserve">KM </t>
  </si>
  <si>
    <t xml:space="preserve">OPERACIONAL </t>
  </si>
  <si>
    <t>OCIOSA (3%)</t>
  </si>
  <si>
    <t xml:space="preserve">Linhas Comerciais </t>
  </si>
  <si>
    <t xml:space="preserve">Linhas Industriais </t>
  </si>
  <si>
    <t xml:space="preserve"> </t>
  </si>
  <si>
    <t>LINHA x MODELO DE ÔNIBUS x KM</t>
  </si>
  <si>
    <t>VEÍCULOS</t>
  </si>
  <si>
    <t>KM</t>
  </si>
  <si>
    <t>TIPOLOGIA</t>
  </si>
  <si>
    <t>QUANTIDADE</t>
  </si>
  <si>
    <t>TOTAL MENSAL</t>
  </si>
  <si>
    <t>Basíco</t>
  </si>
  <si>
    <t>Midi</t>
  </si>
  <si>
    <t>Mini</t>
  </si>
  <si>
    <t>Linha 301 - Gralha Azul Atlas Eletrodomésticos (extra)</t>
  </si>
  <si>
    <t xml:space="preserve">FROTA </t>
  </si>
  <si>
    <t>TOTAL SISTEMA</t>
  </si>
  <si>
    <t xml:space="preserve"> Linha Horas</t>
  </si>
  <si>
    <t>Dados Operacionais</t>
  </si>
  <si>
    <t>Dias Trabalhado Mês</t>
  </si>
  <si>
    <t>HORAS AO DIA</t>
  </si>
  <si>
    <t>HORAS MÊS</t>
  </si>
  <si>
    <t>TOTAL HORAS MÊS</t>
  </si>
  <si>
    <t xml:space="preserve"> Linha 117 - PLANALTO - UTFPR - FADEP</t>
  </si>
  <si>
    <t>LINHA 303 - Reforço - Av. Tupi - UTFPR FADEP</t>
  </si>
  <si>
    <t>HORAS DIA</t>
  </si>
  <si>
    <t>OPERACIONAL</t>
  </si>
  <si>
    <t xml:space="preserve">RESERVA </t>
  </si>
  <si>
    <t>OPERACIONAL        DIAS ÚTEIS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</si>
</sst>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176" formatCode="_-* #,##0.00_-;\-* #,##0.00_-;_-* &quot;-&quot;??_-;_-@_-"/>
    <numFmt numFmtId="177" formatCode="_-&quot;R$&quot;\ * #,##0.00_-;\-&quot;R$&quot;\ * #,##0.00_-;_-&quot;R$&quot;\ * &quot;-&quot;??_-;_-@_-"/>
    <numFmt numFmtId="178" formatCode="_-* #,##0_-;\-* #,##0_-;_-* &quot;-&quot;_-;_-@_-"/>
    <numFmt numFmtId="179" formatCode="_-&quot;R$&quot;\ * #,##0_-;\-&quot;R$&quot;\ * #,##0_-;_-&quot;R$&quot;\ * &quot;-&quot;_-;_-@_-"/>
    <numFmt numFmtId="180" formatCode="0,000.000\ &quot;km&quot;"/>
    <numFmt numFmtId="181" formatCode="[hh]:mm"/>
    <numFmt numFmtId="182" formatCode="#,##0.000"/>
    <numFmt numFmtId="183" formatCode="0.000\ &quot;km&quot;"/>
    <numFmt numFmtId="184" formatCode="0.0_ "/>
    <numFmt numFmtId="185" formatCode="h:mm;@"/>
  </numFmts>
  <fonts count="72">
    <font>
      <sz val="10"/>
      <color theme="1"/>
      <name val="Calibri"/>
      <charset val="134"/>
      <scheme val="minor"/>
    </font>
    <font>
      <sz val="12"/>
      <name val="Arial Narrow"/>
      <charset val="134"/>
    </font>
    <font>
      <b/>
      <sz val="13"/>
      <color theme="1"/>
      <name val="Arial Narrow"/>
      <charset val="134"/>
    </font>
    <font>
      <b/>
      <u/>
      <sz val="13"/>
      <name val="Arial Narrow"/>
      <charset val="134"/>
    </font>
    <font>
      <sz val="12"/>
      <color theme="1"/>
      <name val="Arial Narrow"/>
      <charset val="134"/>
    </font>
    <font>
      <b/>
      <u/>
      <sz val="14"/>
      <color theme="1"/>
      <name val="Arial Narrow"/>
      <charset val="134"/>
    </font>
    <font>
      <u/>
      <sz val="14"/>
      <name val="Arial Narrow"/>
      <charset val="134"/>
    </font>
    <font>
      <b/>
      <u/>
      <sz val="14"/>
      <color theme="0"/>
      <name val="Arial Narrow"/>
      <charset val="134"/>
    </font>
    <font>
      <b/>
      <sz val="12"/>
      <color theme="1"/>
      <name val="Arial Narrow"/>
      <charset val="134"/>
    </font>
    <font>
      <b/>
      <sz val="13"/>
      <color theme="0"/>
      <name val="Arial Narrow"/>
      <charset val="134"/>
    </font>
    <font>
      <b/>
      <sz val="13"/>
      <name val="Arial Narrow"/>
      <charset val="134"/>
    </font>
    <font>
      <b/>
      <u/>
      <sz val="13"/>
      <color theme="0"/>
      <name val="Arial Narrow"/>
      <charset val="134"/>
    </font>
    <font>
      <b/>
      <sz val="12"/>
      <name val="Arial Narrow"/>
      <charset val="134"/>
    </font>
    <font>
      <b/>
      <sz val="13"/>
      <color rgb="FFFF0000"/>
      <name val="Arial Narrow"/>
      <charset val="134"/>
    </font>
    <font>
      <sz val="14"/>
      <color theme="1"/>
      <name val="Arial Narrow"/>
      <charset val="134"/>
    </font>
    <font>
      <b/>
      <sz val="11"/>
      <color theme="1"/>
      <name val="Arial Narrow"/>
      <charset val="134"/>
    </font>
    <font>
      <sz val="13"/>
      <color theme="1"/>
      <name val="Arial Narrow"/>
      <charset val="134"/>
    </font>
    <font>
      <b/>
      <u/>
      <sz val="16"/>
      <color theme="0"/>
      <name val="Arial Narrow"/>
      <charset val="134"/>
    </font>
    <font>
      <b/>
      <u/>
      <sz val="16"/>
      <color theme="1"/>
      <name val="Arial Narrow"/>
      <charset val="134"/>
    </font>
    <font>
      <u/>
      <sz val="12"/>
      <color theme="1"/>
      <name val="Arial Narrow"/>
      <charset val="134"/>
    </font>
    <font>
      <b/>
      <u/>
      <sz val="12"/>
      <color theme="1"/>
      <name val="Arial Narrow"/>
      <charset val="134"/>
    </font>
    <font>
      <b/>
      <sz val="12"/>
      <color theme="0"/>
      <name val="Arial Narrow"/>
      <charset val="134"/>
    </font>
    <font>
      <sz val="11"/>
      <color theme="1"/>
      <name val="Arial Narrow"/>
      <charset val="134"/>
    </font>
    <font>
      <sz val="9"/>
      <color theme="1"/>
      <name val="Arial Narrow"/>
      <charset val="134"/>
    </font>
    <font>
      <b/>
      <sz val="14"/>
      <color theme="1"/>
      <name val="Arial Narrow"/>
      <charset val="134"/>
    </font>
    <font>
      <sz val="8"/>
      <color rgb="FF000000"/>
      <name val="Tahoma"/>
      <charset val="134"/>
    </font>
    <font>
      <sz val="12"/>
      <color rgb="FFFF0000"/>
      <name val="Arial Narrow"/>
      <charset val="134"/>
    </font>
    <font>
      <b/>
      <u/>
      <sz val="12"/>
      <color rgb="FFFF0000"/>
      <name val="Arial Narrow"/>
      <charset val="134"/>
    </font>
    <font>
      <b/>
      <sz val="12"/>
      <color rgb="FFFF0000"/>
      <name val="Arial Narrow"/>
      <charset val="134"/>
    </font>
    <font>
      <b/>
      <u/>
      <sz val="16"/>
      <color rgb="FFFF0000"/>
      <name val="Arial Narrow"/>
      <charset val="134"/>
    </font>
    <font>
      <b/>
      <u/>
      <sz val="14"/>
      <name val="Arial Narrow"/>
      <charset val="134"/>
    </font>
    <font>
      <b/>
      <u/>
      <sz val="16"/>
      <name val="Arial Narrow"/>
      <charset val="134"/>
    </font>
    <font>
      <b/>
      <sz val="16"/>
      <color theme="1"/>
      <name val="Arial Narrow"/>
      <charset val="134"/>
    </font>
    <font>
      <sz val="16"/>
      <color theme="1"/>
      <name val="Arial Narrow"/>
      <charset val="134"/>
    </font>
    <font>
      <sz val="16"/>
      <name val="Arial Narrow"/>
      <charset val="134"/>
    </font>
    <font>
      <b/>
      <u/>
      <sz val="14"/>
      <color rgb="FFFF0000"/>
      <name val="Arial Narrow"/>
      <charset val="134"/>
    </font>
    <font>
      <sz val="16"/>
      <color theme="1"/>
      <name val="Calibri"/>
      <charset val="134"/>
      <scheme val="minor"/>
    </font>
    <font>
      <b/>
      <sz val="14"/>
      <name val="Arial Narrow"/>
      <charset val="134"/>
    </font>
    <font>
      <b/>
      <sz val="14"/>
      <color theme="0"/>
      <name val="Arial Narrow"/>
      <charset val="134"/>
    </font>
    <font>
      <b/>
      <u/>
      <sz val="13"/>
      <color rgb="FFFF0000"/>
      <name val="Arial Narrow"/>
      <charset val="134"/>
    </font>
    <font>
      <sz val="12"/>
      <color theme="0"/>
      <name val="Arial Narrow"/>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scheme val="minor"/>
    </font>
    <font>
      <b/>
      <u/>
      <sz val="12"/>
      <name val="Arial Narrow"/>
      <charset val="134"/>
    </font>
    <font>
      <b/>
      <sz val="10"/>
      <color theme="1"/>
      <name val="Arial Narrow"/>
      <charset val="134"/>
    </font>
    <font>
      <sz val="10"/>
      <color theme="1"/>
      <name val="Arial Narrow"/>
      <charset val="134"/>
    </font>
    <font>
      <b/>
      <sz val="10"/>
      <color rgb="FFFF0000"/>
      <name val="Arial Narrow"/>
      <charset val="134"/>
    </font>
    <font>
      <b/>
      <u/>
      <sz val="10"/>
      <color theme="1"/>
      <name val="Arial Narrow"/>
      <charset val="134"/>
    </font>
    <font>
      <b/>
      <sz val="9"/>
      <name val="Times New Roman"/>
      <charset val="0"/>
    </font>
    <font>
      <sz val="9"/>
      <name val="Times New Roman"/>
      <charset val="0"/>
    </font>
    <font>
      <b/>
      <sz val="9"/>
      <name val="Segoe UI"/>
      <charset val="134"/>
    </font>
    <font>
      <sz val="9"/>
      <name val="Segoe UI"/>
      <charset val="134"/>
    </font>
    <font>
      <sz val="9"/>
      <name val="Arial"/>
      <charset val="0"/>
    </font>
    <font>
      <b/>
      <sz val="9"/>
      <name val="Arial"/>
      <charset val="0"/>
    </font>
  </fonts>
  <fills count="60">
    <fill>
      <patternFill patternType="none"/>
    </fill>
    <fill>
      <patternFill patternType="gray125"/>
    </fill>
    <fill>
      <patternFill patternType="solid">
        <fgColor theme="0"/>
        <bgColor indexed="64"/>
      </patternFill>
    </fill>
    <fill>
      <patternFill patternType="solid">
        <fgColor rgb="FF68696A"/>
        <bgColor indexed="64"/>
      </patternFill>
    </fill>
    <fill>
      <patternFill patternType="solid">
        <fgColor rgb="FF70A8DA"/>
        <bgColor indexed="64"/>
      </patternFill>
    </fill>
    <fill>
      <patternFill patternType="solid">
        <fgColor rgb="FFF7F7F7"/>
        <bgColor indexed="64"/>
      </patternFill>
    </fill>
    <fill>
      <patternFill patternType="solid">
        <fgColor theme="0" tint="-0.349986266670736"/>
        <bgColor indexed="64"/>
      </patternFill>
    </fill>
    <fill>
      <patternFill patternType="solid">
        <fgColor rgb="FFDEDEDE"/>
        <bgColor indexed="64"/>
      </patternFill>
    </fill>
    <fill>
      <patternFill patternType="solid">
        <fgColor theme="0" tint="-0.14996795556505"/>
        <bgColor indexed="64"/>
      </patternFill>
    </fill>
    <fill>
      <patternFill patternType="solid">
        <fgColor rgb="FFFF0000"/>
        <bgColor indexed="64"/>
      </patternFill>
    </fill>
    <fill>
      <patternFill patternType="solid">
        <fgColor rgb="FFFEC044"/>
        <bgColor indexed="64"/>
      </patternFill>
    </fill>
    <fill>
      <patternFill patternType="solid">
        <fgColor rgb="FFFFFF00"/>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bgColor indexed="64"/>
      </patternFill>
    </fill>
    <fill>
      <patternFill patternType="solid">
        <fgColor theme="5" tint="0.399975585192419"/>
        <bgColor indexed="64"/>
      </patternFill>
    </fill>
    <fill>
      <patternFill patternType="solid">
        <fgColor theme="4" tint="-0.249977111117893"/>
        <bgColor indexed="64"/>
      </patternFill>
    </fill>
    <fill>
      <patternFill patternType="solid">
        <fgColor theme="9"/>
        <bgColor indexed="64"/>
      </patternFill>
    </fill>
    <fill>
      <patternFill patternType="solid">
        <fgColor rgb="FF7030A0"/>
        <bgColor indexed="64"/>
      </patternFill>
    </fill>
    <fill>
      <patternFill patternType="solid">
        <fgColor theme="4" tint="-0.25"/>
        <bgColor indexed="64"/>
      </patternFill>
    </fill>
    <fill>
      <patternFill patternType="solid">
        <fgColor theme="9" tint="0.399914548173467"/>
        <bgColor indexed="64"/>
      </patternFill>
    </fill>
    <fill>
      <patternFill patternType="solid">
        <fgColor rgb="FFFFC000"/>
        <bgColor indexed="64"/>
      </patternFill>
    </fill>
    <fill>
      <patternFill patternType="solid">
        <fgColor theme="0" tint="-0.0499893185216834"/>
        <bgColor indexed="64"/>
      </patternFill>
    </fill>
    <fill>
      <patternFill patternType="solid">
        <fgColor theme="5" tint="0.8"/>
        <bgColor indexed="64"/>
      </patternFill>
    </fill>
    <fill>
      <patternFill patternType="solid">
        <fgColor theme="5" tint="0.6"/>
        <bgColor indexed="64"/>
      </patternFill>
    </fill>
    <fill>
      <patternFill patternType="solid">
        <fgColor theme="5" tint="0.4"/>
        <bgColor indexed="64"/>
      </patternFill>
    </fill>
    <fill>
      <patternFill patternType="solid">
        <fgColor rgb="FFC198E0"/>
        <bgColor indexed="64"/>
      </patternFill>
    </fill>
    <fill>
      <patternFill patternType="solid">
        <fgColor theme="5" tint="0.399945066682943"/>
        <bgColor indexed="64"/>
      </patternFill>
    </fill>
    <fill>
      <patternFill patternType="solid">
        <fgColor theme="9" tint="0.399945066682943"/>
        <bgColor indexed="64"/>
      </patternFill>
    </fill>
    <fill>
      <patternFill patternType="solid">
        <fgColor theme="7" tint="0.4"/>
        <bgColor indexed="64"/>
      </patternFill>
    </fill>
    <fill>
      <patternFill patternType="solid">
        <fgColor theme="9" tint="0.4"/>
        <bgColor indexed="64"/>
      </patternFill>
    </fill>
    <fill>
      <patternFill patternType="solid">
        <fgColor rgb="FF00B0F0"/>
        <bgColor indexed="64"/>
      </patternFill>
    </fill>
    <fill>
      <patternFill patternType="solid">
        <fgColor theme="7" tint="-0.25"/>
        <bgColor indexed="64"/>
      </patternFill>
    </fill>
    <fill>
      <patternFill patternType="solid">
        <fgColor theme="4" tint="0.4"/>
        <bgColor indexed="64"/>
      </patternFill>
    </fill>
    <fill>
      <patternFill patternType="solid">
        <fgColor them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s>
  <borders count="149">
    <border>
      <left/>
      <right/>
      <top/>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349986266670736"/>
      </left>
      <right/>
      <top style="thin">
        <color theme="0" tint="-0.349986266670736"/>
      </top>
      <bottom style="thin">
        <color theme="0" tint="-0.349986266670736"/>
      </bottom>
      <diagonal/>
    </border>
    <border>
      <left/>
      <right/>
      <top style="thin">
        <color theme="0" tint="-0.349986266670736"/>
      </top>
      <bottom style="thin">
        <color theme="0" tint="-0.349986266670736"/>
      </bottom>
      <diagonal/>
    </border>
    <border>
      <left/>
      <right style="thin">
        <color theme="0" tint="-0.349986266670736"/>
      </right>
      <top style="thin">
        <color theme="0" tint="-0.349986266670736"/>
      </top>
      <bottom style="thin">
        <color theme="0" tint="-0.349986266670736"/>
      </bottom>
      <diagonal/>
    </border>
    <border>
      <left style="thin">
        <color theme="0" tint="-0.349986266670736"/>
      </left>
      <right style="thin">
        <color theme="0" tint="-0.349986266670736"/>
      </right>
      <top style="thin">
        <color theme="0" tint="-0.349986266670736"/>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tint="-0.349986266670736"/>
      </right>
      <top style="thin">
        <color theme="0" tint="-0.349986266670736"/>
      </top>
      <bottom/>
      <diagonal/>
    </border>
    <border>
      <left style="thin">
        <color theme="0" tint="-0.349986266670736"/>
      </left>
      <right style="thin">
        <color theme="0" tint="-0.349986266670736"/>
      </right>
      <top/>
      <bottom style="thin">
        <color theme="0" tint="-0.349986266670736"/>
      </bottom>
      <diagonal/>
    </border>
    <border>
      <left/>
      <right style="thin">
        <color theme="0" tint="-0.249946592608417"/>
      </right>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tint="-0.349986266670736"/>
      </left>
      <right/>
      <top/>
      <bottom/>
      <diagonal/>
    </border>
    <border>
      <left style="thin">
        <color theme="0" tint="-0.349986266670736"/>
      </left>
      <right/>
      <top style="thin">
        <color theme="0" tint="-0.349986266670736"/>
      </top>
      <bottom/>
      <diagonal/>
    </border>
    <border>
      <left style="thin">
        <color theme="0" tint="-0.349986266670736"/>
      </left>
      <right/>
      <top/>
      <bottom style="thin">
        <color theme="0" tint="-0.349986266670736"/>
      </bottom>
      <diagonal/>
    </border>
    <border>
      <left/>
      <right/>
      <top/>
      <bottom style="thin">
        <color theme="0" tint="-0.349986266670736"/>
      </bottom>
      <diagonal/>
    </border>
    <border>
      <left/>
      <right style="thin">
        <color theme="0" tint="-0.349986266670736"/>
      </right>
      <top/>
      <bottom style="thin">
        <color theme="0" tint="-0.349986266670736"/>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left>
      <right style="thin">
        <color theme="0"/>
      </right>
      <top style="thin">
        <color theme="0" tint="-0.249946592608417"/>
      </top>
      <bottom style="thin">
        <color theme="0" tint="-0.249946592608417"/>
      </bottom>
      <diagonal/>
    </border>
    <border>
      <left style="thin">
        <color theme="0"/>
      </left>
      <right style="thin">
        <color theme="0" tint="-0.249946592608417"/>
      </right>
      <top style="thin">
        <color theme="0" tint="-0.249946592608417"/>
      </top>
      <bottom style="thin">
        <color theme="0" tint="-0.249946592608417"/>
      </bottom>
      <diagonal/>
    </border>
    <border>
      <left style="thin">
        <color theme="0"/>
      </left>
      <right/>
      <top style="thin">
        <color theme="0" tint="-0.349986266670736"/>
      </top>
      <bottom style="thin">
        <color theme="0"/>
      </bottom>
      <diagonal/>
    </border>
    <border>
      <left/>
      <right style="thin">
        <color theme="0"/>
      </right>
      <top style="thin">
        <color theme="0" tint="-0.349986266670736"/>
      </top>
      <bottom style="thin">
        <color theme="0"/>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style="thin">
        <color theme="0" tint="-0.349986266670736"/>
      </top>
      <bottom/>
      <diagonal/>
    </border>
    <border>
      <left style="thin">
        <color theme="3" tint="0.799920651875362"/>
      </left>
      <right/>
      <top style="thin">
        <color theme="3" tint="0.799920651875362"/>
      </top>
      <bottom style="thin">
        <color theme="3" tint="0.799920651875362"/>
      </bottom>
      <diagonal/>
    </border>
    <border>
      <left/>
      <right/>
      <top style="thin">
        <color theme="3" tint="0.799920651875362"/>
      </top>
      <bottom style="thin">
        <color theme="3" tint="0.799920651875362"/>
      </bottom>
      <diagonal/>
    </border>
    <border>
      <left style="thin">
        <color theme="0" tint="-0.149937437055574"/>
      </left>
      <right/>
      <top/>
      <bottom/>
      <diagonal/>
    </border>
    <border>
      <left style="thin">
        <color theme="3" tint="0.799951170384838"/>
      </left>
      <right style="thin">
        <color theme="3" tint="0.799951170384838"/>
      </right>
      <top/>
      <bottom style="thin">
        <color theme="3" tint="0.799951170384838"/>
      </bottom>
      <diagonal/>
    </border>
    <border>
      <left style="thin">
        <color theme="3" tint="0.799951170384838"/>
      </left>
      <right/>
      <top/>
      <bottom style="thin">
        <color theme="3" tint="0.799951170384838"/>
      </bottom>
      <diagonal/>
    </border>
    <border>
      <left style="thin">
        <color theme="3" tint="0.799951170384838"/>
      </left>
      <right style="thin">
        <color theme="3" tint="0.799951170384838"/>
      </right>
      <top style="thin">
        <color theme="3" tint="0.799951170384838"/>
      </top>
      <bottom style="thin">
        <color theme="3" tint="0.799951170384838"/>
      </bottom>
      <diagonal/>
    </border>
    <border>
      <left style="thin">
        <color theme="3" tint="0.799951170384838"/>
      </left>
      <right/>
      <top style="thin">
        <color theme="3" tint="0.799951170384838"/>
      </top>
      <bottom style="thin">
        <color theme="3" tint="0.799951170384838"/>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thin">
        <color auto="1"/>
      </bottom>
      <diagonal/>
    </border>
    <border>
      <left style="thin">
        <color theme="3" tint="0.799890133365886"/>
      </left>
      <right/>
      <top style="thin">
        <color theme="3" tint="0.799890133365886"/>
      </top>
      <bottom style="thin">
        <color theme="3" tint="0.799920651875362"/>
      </bottom>
      <diagonal/>
    </border>
    <border>
      <left/>
      <right/>
      <top style="thin">
        <color theme="3" tint="0.799890133365886"/>
      </top>
      <bottom style="thin">
        <color theme="3" tint="0.799920651875362"/>
      </bottom>
      <diagonal/>
    </border>
    <border>
      <left/>
      <right style="thin">
        <color theme="3" tint="0.799890133365886"/>
      </right>
      <top style="thin">
        <color theme="3" tint="0.799890133365886"/>
      </top>
      <bottom style="thin">
        <color theme="3" tint="0.799920651875362"/>
      </bottom>
      <diagonal/>
    </border>
    <border>
      <left style="thin">
        <color theme="3" tint="0.799890133365886"/>
      </left>
      <right style="thin">
        <color theme="3" tint="0.799951170384838"/>
      </right>
      <top/>
      <bottom style="thin">
        <color theme="3" tint="0.799951170384838"/>
      </bottom>
      <diagonal/>
    </border>
    <border>
      <left style="thin">
        <color theme="3" tint="0.799951170384838"/>
      </left>
      <right style="thin">
        <color theme="3" tint="0.799890133365886"/>
      </right>
      <top/>
      <bottom style="thin">
        <color theme="3" tint="0.799951170384838"/>
      </bottom>
      <diagonal/>
    </border>
    <border>
      <left style="thin">
        <color theme="3" tint="0.799890133365886"/>
      </left>
      <right style="thin">
        <color theme="3" tint="0.799951170384838"/>
      </right>
      <top style="thin">
        <color theme="3" tint="0.799951170384838"/>
      </top>
      <bottom style="thin">
        <color theme="3" tint="0.799890133365886"/>
      </bottom>
      <diagonal/>
    </border>
    <border>
      <left style="thin">
        <color theme="3" tint="0.799951170384838"/>
      </left>
      <right style="thin">
        <color theme="3" tint="0.799951170384838"/>
      </right>
      <top style="thin">
        <color theme="3" tint="0.799951170384838"/>
      </top>
      <bottom style="thin">
        <color theme="3" tint="0.799890133365886"/>
      </bottom>
      <diagonal/>
    </border>
    <border>
      <left style="thin">
        <color theme="3" tint="0.799951170384838"/>
      </left>
      <right style="thin">
        <color theme="3" tint="0.799890133365886"/>
      </right>
      <top style="thin">
        <color theme="3" tint="0.799951170384838"/>
      </top>
      <bottom style="thin">
        <color theme="3" tint="0.799890133365886"/>
      </bottom>
      <diagonal/>
    </border>
    <border>
      <left style="thin">
        <color theme="0" tint="-0.349986266670736"/>
      </left>
      <right style="thin">
        <color theme="0" tint="-0.349986266670736"/>
      </right>
      <top/>
      <bottom/>
      <diagonal/>
    </border>
    <border>
      <left style="thin">
        <color theme="0" tint="-0.249946592608417"/>
      </left>
      <right style="thin">
        <color theme="0"/>
      </right>
      <top/>
      <bottom style="thin">
        <color theme="0" tint="-0.249946592608417"/>
      </bottom>
      <diagonal/>
    </border>
    <border>
      <left style="thin">
        <color theme="0"/>
      </left>
      <right style="thin">
        <color theme="0"/>
      </right>
      <top/>
      <bottom style="thin">
        <color theme="0" tint="-0.249946592608417"/>
      </bottom>
      <diagonal/>
    </border>
    <border>
      <left style="thin">
        <color theme="0"/>
      </left>
      <right style="thin">
        <color theme="0" tint="-0.249946592608417"/>
      </right>
      <top/>
      <bottom style="thin">
        <color theme="0" tint="-0.249946592608417"/>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thin">
        <color auto="1"/>
      </left>
      <right style="medium">
        <color auto="1"/>
      </right>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theme="3" tint="0.799920651875362"/>
      </left>
      <right style="thin">
        <color theme="3" tint="0.799920651875362"/>
      </right>
      <top style="thin">
        <color theme="3" tint="0.799920651875362"/>
      </top>
      <bottom style="thin">
        <color theme="3" tint="0.799920651875362"/>
      </bottom>
      <diagonal/>
    </border>
    <border>
      <left style="thin">
        <color theme="3" tint="0.799920651875362"/>
      </left>
      <right style="thin">
        <color theme="3" tint="0.799920651875362"/>
      </right>
      <top style="thin">
        <color theme="3" tint="0.799920651875362"/>
      </top>
      <bottom/>
      <diagonal/>
    </border>
    <border>
      <left style="thin">
        <color theme="3" tint="0.799890133365886"/>
      </left>
      <right style="thin">
        <color theme="3" tint="0.799890133365886"/>
      </right>
      <top style="thin">
        <color theme="3" tint="0.799890133365886"/>
      </top>
      <bottom style="thin">
        <color theme="3" tint="0.799890133365886"/>
      </bottom>
      <diagonal/>
    </border>
    <border>
      <left style="thin">
        <color theme="3" tint="0.799890133365886"/>
      </left>
      <right/>
      <top style="thin">
        <color theme="3" tint="0.799890133365886"/>
      </top>
      <bottom style="thin">
        <color theme="3" tint="0.799890133365886"/>
      </bottom>
      <diagonal/>
    </border>
    <border>
      <left style="thin">
        <color theme="3" tint="0.79985961485641"/>
      </left>
      <right style="thin">
        <color theme="3" tint="0.79985961485641"/>
      </right>
      <top style="thin">
        <color theme="3" tint="0.79985961485641"/>
      </top>
      <bottom/>
      <diagonal/>
    </border>
    <border>
      <left style="thin">
        <color theme="3" tint="0.79985961485641"/>
      </left>
      <right style="thin">
        <color theme="3" tint="0.79985961485641"/>
      </right>
      <top/>
      <bottom/>
      <diagonal/>
    </border>
    <border>
      <left style="thin">
        <color theme="3" tint="0.79985961485641"/>
      </left>
      <right style="thin">
        <color theme="3" tint="0.79985961485641"/>
      </right>
      <top/>
      <bottom style="thin">
        <color theme="3" tint="0.79985961485641"/>
      </bottom>
      <diagonal/>
    </border>
    <border>
      <left/>
      <right style="thin">
        <color theme="3" tint="0.799920651875362"/>
      </right>
      <top style="thin">
        <color theme="3" tint="0.799920651875362"/>
      </top>
      <bottom style="thin">
        <color theme="3" tint="0.799920651875362"/>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thin">
        <color theme="3" tint="0.799890133365886"/>
      </right>
      <top style="thin">
        <color theme="3" tint="0.799890133365886"/>
      </top>
      <bottom style="thin">
        <color theme="3" tint="0.799890133365886"/>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3" tint="0.799951170384838"/>
      </left>
      <right style="thin">
        <color theme="3" tint="0.799951170384838"/>
      </right>
      <top style="thin">
        <color theme="3" tint="0.799951170384838"/>
      </top>
      <bottom/>
      <diagonal/>
    </border>
    <border>
      <left style="thin">
        <color theme="3" tint="0.799951170384838"/>
      </left>
      <right style="thin">
        <color theme="3" tint="0.799951170384838"/>
      </right>
      <top/>
      <bottom/>
      <diagonal/>
    </border>
    <border>
      <left/>
      <right/>
      <top style="medium">
        <color auto="1"/>
      </top>
      <bottom style="thin">
        <color auto="1"/>
      </bottom>
      <diagonal/>
    </border>
    <border>
      <left style="medium">
        <color auto="1"/>
      </left>
      <right style="medium">
        <color auto="1"/>
      </right>
      <top style="medium">
        <color auto="1"/>
      </top>
      <bottom/>
      <diagonal/>
    </border>
    <border>
      <left/>
      <right/>
      <top/>
      <bottom style="thin">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right style="thin">
        <color theme="3" tint="0.799951170384838"/>
      </right>
      <top/>
      <bottom/>
      <diagonal/>
    </border>
    <border>
      <left style="thin">
        <color theme="3" tint="0.799920651875362"/>
      </left>
      <right/>
      <top/>
      <bottom/>
      <diagonal/>
    </border>
    <border>
      <left style="thin">
        <color theme="3" tint="0.799951170384838"/>
      </left>
      <right/>
      <top/>
      <bottom/>
      <diagonal/>
    </border>
    <border>
      <left style="thin">
        <color theme="3" tint="0.79985961485641"/>
      </left>
      <right style="thin">
        <color theme="3" tint="0.79985961485641"/>
      </right>
      <top style="thin">
        <color theme="3" tint="0.79985961485641"/>
      </top>
      <bottom style="thin">
        <color theme="3" tint="0.79985961485641"/>
      </bottom>
      <diagonal/>
    </border>
    <border>
      <left/>
      <right style="thin">
        <color theme="3" tint="0.799951170384838"/>
      </right>
      <top style="thin">
        <color theme="3" tint="0.799951170384838"/>
      </top>
      <bottom/>
      <diagonal/>
    </border>
    <border>
      <left/>
      <right style="thin">
        <color theme="3" tint="0.799951170384838"/>
      </right>
      <top/>
      <bottom style="thin">
        <color theme="3" tint="0.799951170384838"/>
      </bottom>
      <diagonal/>
    </border>
    <border>
      <left style="thin">
        <color theme="3" tint="0.799951170384838"/>
      </left>
      <right/>
      <top style="thin">
        <color theme="3" tint="0.799920651875362"/>
      </top>
      <bottom/>
      <diagonal/>
    </border>
    <border>
      <left/>
      <right style="thin">
        <color theme="3" tint="0.799951170384838"/>
      </right>
      <top style="thin">
        <color theme="3" tint="0.799920651875362"/>
      </top>
      <bottom/>
      <diagonal/>
    </border>
    <border>
      <left style="medium">
        <color auto="1"/>
      </left>
      <right style="medium">
        <color auto="1"/>
      </right>
      <top style="thin">
        <color auto="1"/>
      </top>
      <bottom/>
      <diagonal/>
    </border>
    <border>
      <left style="medium">
        <color auto="1"/>
      </left>
      <right/>
      <top/>
      <bottom style="thin">
        <color auto="1"/>
      </bottom>
      <diagonal/>
    </border>
    <border>
      <left/>
      <right/>
      <top style="thin">
        <color auto="1"/>
      </top>
      <bottom style="thin">
        <color auto="1"/>
      </bottom>
      <diagonal/>
    </border>
    <border>
      <left/>
      <right/>
      <top style="thin">
        <color auto="1"/>
      </top>
      <bottom style="medium">
        <color auto="1"/>
      </bottom>
      <diagonal/>
    </border>
    <border>
      <left/>
      <right style="medium">
        <color auto="1"/>
      </right>
      <top/>
      <bottom/>
      <diagonal/>
    </border>
    <border>
      <left/>
      <right style="medium">
        <color auto="1"/>
      </right>
      <top/>
      <bottom style="thin">
        <color auto="1"/>
      </bottom>
      <diagonal/>
    </border>
    <border>
      <left style="thin">
        <color theme="3" tint="0.799890133365886"/>
      </left>
      <right/>
      <top/>
      <bottom style="thin">
        <color theme="3" tint="0.799890133365886"/>
      </bottom>
      <diagonal/>
    </border>
    <border>
      <left/>
      <right/>
      <top/>
      <bottom style="thin">
        <color theme="3" tint="0.799890133365886"/>
      </bottom>
      <diagonal/>
    </border>
    <border>
      <left style="thin">
        <color theme="3" tint="0.799890133365886"/>
      </left>
      <right style="thin">
        <color theme="3" tint="0.799890133365886"/>
      </right>
      <top style="thin">
        <color theme="3" tint="0.799890133365886"/>
      </top>
      <bottom/>
      <diagonal/>
    </border>
    <border>
      <left style="thin">
        <color theme="3" tint="0.799890133365886"/>
      </left>
      <right style="thin">
        <color theme="3" tint="0.799890133365886"/>
      </right>
      <top/>
      <bottom style="thin">
        <color theme="3" tint="0.799890133365886"/>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auto="1"/>
      </right>
      <top style="medium">
        <color auto="1"/>
      </top>
      <bottom style="medium">
        <color auto="1"/>
      </bottom>
      <diagonal/>
    </border>
    <border>
      <left style="medium">
        <color auto="1"/>
      </left>
      <right style="medium">
        <color auto="1"/>
      </right>
      <top/>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0" fillId="35" borderId="141" applyNumberFormat="0" applyFont="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142" applyNumberFormat="0" applyFill="0" applyAlignment="0" applyProtection="0">
      <alignment vertical="center"/>
    </xf>
    <xf numFmtId="0" fontId="47" fillId="0" borderId="142" applyNumberFormat="0" applyFill="0" applyAlignment="0" applyProtection="0">
      <alignment vertical="center"/>
    </xf>
    <xf numFmtId="0" fontId="48" fillId="0" borderId="143" applyNumberFormat="0" applyFill="0" applyAlignment="0" applyProtection="0">
      <alignment vertical="center"/>
    </xf>
    <xf numFmtId="0" fontId="48" fillId="0" borderId="0" applyNumberFormat="0" applyFill="0" applyBorder="0" applyAlignment="0" applyProtection="0">
      <alignment vertical="center"/>
    </xf>
    <xf numFmtId="0" fontId="49" fillId="36" borderId="144" applyNumberFormat="0" applyAlignment="0" applyProtection="0">
      <alignment vertical="center"/>
    </xf>
    <xf numFmtId="0" fontId="50" fillId="37" borderId="145" applyNumberFormat="0" applyAlignment="0" applyProtection="0">
      <alignment vertical="center"/>
    </xf>
    <xf numFmtId="0" fontId="51" fillId="37" borderId="144" applyNumberFormat="0" applyAlignment="0" applyProtection="0">
      <alignment vertical="center"/>
    </xf>
    <xf numFmtId="0" fontId="52" fillId="38" borderId="146" applyNumberFormat="0" applyAlignment="0" applyProtection="0">
      <alignment vertical="center"/>
    </xf>
    <xf numFmtId="0" fontId="53" fillId="0" borderId="147" applyNumberFormat="0" applyFill="0" applyAlignment="0" applyProtection="0">
      <alignment vertical="center"/>
    </xf>
    <xf numFmtId="0" fontId="54" fillId="0" borderId="148" applyNumberFormat="0" applyFill="0" applyAlignment="0" applyProtection="0">
      <alignment vertical="center"/>
    </xf>
    <xf numFmtId="0" fontId="55" fillId="39" borderId="0" applyNumberFormat="0" applyBorder="0" applyAlignment="0" applyProtection="0">
      <alignment vertical="center"/>
    </xf>
    <xf numFmtId="0" fontId="56" fillId="40" borderId="0" applyNumberFormat="0" applyBorder="0" applyAlignment="0" applyProtection="0">
      <alignment vertical="center"/>
    </xf>
    <xf numFmtId="0" fontId="57" fillId="41" borderId="0" applyNumberFormat="0" applyBorder="0" applyAlignment="0" applyProtection="0">
      <alignment vertical="center"/>
    </xf>
    <xf numFmtId="0" fontId="58" fillId="14" borderId="0" applyNumberFormat="0" applyBorder="0" applyAlignment="0" applyProtection="0">
      <alignment vertical="center"/>
    </xf>
    <xf numFmtId="0" fontId="59" fillId="42" borderId="0" applyNumberFormat="0" applyBorder="0" applyAlignment="0" applyProtection="0">
      <alignment vertical="center"/>
    </xf>
    <xf numFmtId="0" fontId="59" fillId="43" borderId="0" applyNumberFormat="0" applyBorder="0" applyAlignment="0" applyProtection="0">
      <alignment vertical="center"/>
    </xf>
    <xf numFmtId="0" fontId="58" fillId="44" borderId="0" applyNumberFormat="0" applyBorder="0" applyAlignment="0" applyProtection="0">
      <alignment vertical="center"/>
    </xf>
    <xf numFmtId="0" fontId="58" fillId="45" borderId="0" applyNumberFormat="0" applyBorder="0" applyAlignment="0" applyProtection="0">
      <alignment vertical="center"/>
    </xf>
    <xf numFmtId="0" fontId="59" fillId="46" borderId="0" applyNumberFormat="0" applyBorder="0" applyAlignment="0" applyProtection="0">
      <alignment vertical="center"/>
    </xf>
    <xf numFmtId="0" fontId="59" fillId="47" borderId="0" applyNumberFormat="0" applyBorder="0" applyAlignment="0" applyProtection="0">
      <alignment vertical="center"/>
    </xf>
    <xf numFmtId="0" fontId="58" fillId="15" borderId="0" applyNumberFormat="0" applyBorder="0" applyAlignment="0" applyProtection="0">
      <alignment vertical="center"/>
    </xf>
    <xf numFmtId="0" fontId="58" fillId="34" borderId="0" applyNumberFormat="0" applyBorder="0" applyAlignment="0" applyProtection="0">
      <alignment vertical="center"/>
    </xf>
    <xf numFmtId="0" fontId="59" fillId="48" borderId="0" applyNumberFormat="0" applyBorder="0" applyAlignment="0" applyProtection="0">
      <alignment vertical="center"/>
    </xf>
    <xf numFmtId="0" fontId="59" fillId="49" borderId="0" applyNumberFormat="0" applyBorder="0" applyAlignment="0" applyProtection="0">
      <alignment vertical="center"/>
    </xf>
    <xf numFmtId="0" fontId="58" fillId="50" borderId="0" applyNumberFormat="0" applyBorder="0" applyAlignment="0" applyProtection="0">
      <alignment vertical="center"/>
    </xf>
    <xf numFmtId="0" fontId="58" fillId="51" borderId="0" applyNumberFormat="0" applyBorder="0" applyAlignment="0" applyProtection="0">
      <alignment vertical="center"/>
    </xf>
    <xf numFmtId="0" fontId="59" fillId="52" borderId="0" applyNumberFormat="0" applyBorder="0" applyAlignment="0" applyProtection="0">
      <alignment vertical="center"/>
    </xf>
    <xf numFmtId="0" fontId="59" fillId="53" borderId="0" applyNumberFormat="0" applyBorder="0" applyAlignment="0" applyProtection="0">
      <alignment vertical="center"/>
    </xf>
    <xf numFmtId="0" fontId="58" fillId="54" borderId="0" applyNumberFormat="0" applyBorder="0" applyAlignment="0" applyProtection="0">
      <alignment vertical="center"/>
    </xf>
    <xf numFmtId="0" fontId="58" fillId="55" borderId="0" applyNumberFormat="0" applyBorder="0" applyAlignment="0" applyProtection="0">
      <alignment vertical="center"/>
    </xf>
    <xf numFmtId="0" fontId="59" fillId="56" borderId="0" applyNumberFormat="0" applyBorder="0" applyAlignment="0" applyProtection="0">
      <alignment vertical="center"/>
    </xf>
    <xf numFmtId="0" fontId="59" fillId="57" borderId="0" applyNumberFormat="0" applyBorder="0" applyAlignment="0" applyProtection="0">
      <alignment vertical="center"/>
    </xf>
    <xf numFmtId="0" fontId="58" fillId="58" borderId="0" applyNumberFormat="0" applyBorder="0" applyAlignment="0" applyProtection="0">
      <alignment vertical="center"/>
    </xf>
    <xf numFmtId="0" fontId="58" fillId="17" borderId="0" applyNumberFormat="0" applyBorder="0" applyAlignment="0" applyProtection="0">
      <alignment vertical="center"/>
    </xf>
    <xf numFmtId="0" fontId="59" fillId="59" borderId="0" applyNumberFormat="0" applyBorder="0" applyAlignment="0" applyProtection="0">
      <alignment vertical="center"/>
    </xf>
    <xf numFmtId="0" fontId="59" fillId="12" borderId="0" applyNumberFormat="0" applyBorder="0" applyAlignment="0" applyProtection="0">
      <alignment vertical="center"/>
    </xf>
    <xf numFmtId="0" fontId="58" fillId="13" borderId="0" applyNumberFormat="0" applyBorder="0" applyAlignment="0" applyProtection="0">
      <alignment vertical="center"/>
    </xf>
    <xf numFmtId="0" fontId="60" fillId="0" borderId="0"/>
    <xf numFmtId="0" fontId="60" fillId="0" borderId="0"/>
  </cellStyleXfs>
  <cellXfs count="1113">
    <xf numFmtId="0" fontId="0" fillId="0" borderId="0" xfId="0">
      <alignment vertical="center"/>
    </xf>
    <xf numFmtId="0" fontId="1" fillId="2" borderId="0" xfId="0" applyFont="1" applyFill="1" applyAlignment="1" applyProtection="1">
      <alignment horizontal="justify" vertical="distributed"/>
      <protection hidden="1"/>
    </xf>
    <xf numFmtId="0" fontId="2" fillId="2" borderId="0" xfId="0" applyFont="1" applyFill="1" applyAlignment="1" applyProtection="1">
      <alignment horizontal="center" vertical="center"/>
      <protection hidden="1"/>
    </xf>
    <xf numFmtId="0" fontId="1" fillId="2" borderId="0" xfId="0" applyFont="1" applyFill="1" applyAlignment="1" applyProtection="1">
      <alignment horizontal="center" vertical="center"/>
      <protection hidden="1"/>
    </xf>
    <xf numFmtId="0" fontId="3" fillId="2" borderId="0" xfId="0" applyFont="1" applyFill="1" applyAlignment="1" applyProtection="1">
      <alignment horizontal="center" vertical="center"/>
      <protection hidden="1"/>
    </xf>
    <xf numFmtId="0" fontId="4" fillId="2" borderId="0" xfId="0" applyFont="1" applyFill="1" applyProtection="1">
      <alignment vertical="center"/>
      <protection hidden="1"/>
    </xf>
    <xf numFmtId="180" fontId="4" fillId="2" borderId="0" xfId="0" applyNumberFormat="1" applyFont="1" applyFill="1" applyProtection="1">
      <alignment vertical="center"/>
      <protection hidden="1"/>
    </xf>
    <xf numFmtId="0" fontId="5" fillId="2" borderId="0" xfId="0" applyFont="1" applyFill="1" applyAlignment="1" applyProtection="1">
      <alignment horizontal="center" vertical="center"/>
      <protection hidden="1"/>
    </xf>
    <xf numFmtId="0" fontId="6" fillId="2" borderId="0" xfId="0" applyFont="1" applyFill="1" applyAlignment="1" applyProtection="1">
      <alignment horizontal="center" vertical="distributed"/>
      <protection hidden="1"/>
    </xf>
    <xf numFmtId="180" fontId="1" fillId="2" borderId="0" xfId="0" applyNumberFormat="1" applyFont="1" applyFill="1" applyAlignment="1" applyProtection="1">
      <alignment horizontal="justify" vertical="distributed"/>
      <protection hidden="1"/>
    </xf>
    <xf numFmtId="0" fontId="7" fillId="3" borderId="1" xfId="0" applyFont="1" applyFill="1" applyBorder="1" applyAlignment="1" applyProtection="1">
      <alignment horizontal="center" vertical="distributed"/>
      <protection hidden="1"/>
    </xf>
    <xf numFmtId="0" fontId="2" fillId="4" borderId="1" xfId="0" applyFont="1" applyFill="1" applyBorder="1" applyAlignment="1" applyProtection="1">
      <alignment horizontal="center" vertical="center"/>
      <protection hidden="1"/>
    </xf>
    <xf numFmtId="0" fontId="2" fillId="4" borderId="1" xfId="0" applyFont="1" applyFill="1" applyBorder="1" applyAlignment="1" applyProtection="1">
      <alignment horizontal="center" vertical="center" wrapText="1"/>
      <protection hidden="1"/>
    </xf>
    <xf numFmtId="0" fontId="2" fillId="4" borderId="2" xfId="0" applyFont="1" applyFill="1" applyBorder="1" applyAlignment="1" applyProtection="1">
      <alignment horizontal="center" vertical="center"/>
      <protection hidden="1"/>
    </xf>
    <xf numFmtId="0" fontId="2" fillId="4" borderId="3" xfId="0" applyFont="1" applyFill="1" applyBorder="1" applyAlignment="1" applyProtection="1">
      <alignment horizontal="center" vertical="center"/>
      <protection hidden="1"/>
    </xf>
    <xf numFmtId="0" fontId="2" fillId="4" borderId="4" xfId="0" applyFont="1" applyFill="1" applyBorder="1" applyAlignment="1" applyProtection="1">
      <alignment horizontal="center" vertical="center"/>
      <protection hidden="1"/>
    </xf>
    <xf numFmtId="0" fontId="4" fillId="2" borderId="1" xfId="0" applyFont="1" applyFill="1" applyBorder="1" applyAlignment="1" applyProtection="1">
      <alignment horizontal="justify" vertical="center"/>
      <protection hidden="1"/>
    </xf>
    <xf numFmtId="3" fontId="4" fillId="2" borderId="1" xfId="0" applyNumberFormat="1" applyFont="1" applyFill="1" applyBorder="1" applyAlignment="1" applyProtection="1">
      <alignment horizontal="center" vertical="center"/>
      <protection hidden="1"/>
    </xf>
    <xf numFmtId="181" fontId="8" fillId="2" borderId="1" xfId="0" applyNumberFormat="1" applyFont="1" applyFill="1" applyBorder="1" applyAlignment="1" applyProtection="1">
      <alignment horizontal="center" vertical="center"/>
      <protection hidden="1"/>
    </xf>
    <xf numFmtId="181" fontId="4" fillId="2" borderId="1" xfId="0" applyNumberFormat="1" applyFont="1" applyFill="1" applyBorder="1" applyAlignment="1" applyProtection="1">
      <alignment horizontal="center" vertical="center"/>
      <protection hidden="1"/>
    </xf>
    <xf numFmtId="182" fontId="4" fillId="2" borderId="0" xfId="0" applyNumberFormat="1" applyFont="1" applyFill="1" applyProtection="1">
      <alignment vertical="center"/>
      <protection hidden="1"/>
    </xf>
    <xf numFmtId="0" fontId="4" fillId="5" borderId="1" xfId="0" applyFont="1" applyFill="1" applyBorder="1" applyAlignment="1" applyProtection="1">
      <alignment horizontal="justify" vertical="center"/>
      <protection hidden="1"/>
    </xf>
    <xf numFmtId="3" fontId="4" fillId="5" borderId="1" xfId="0" applyNumberFormat="1" applyFont="1" applyFill="1" applyBorder="1" applyAlignment="1" applyProtection="1">
      <alignment horizontal="center" vertical="center"/>
      <protection hidden="1"/>
    </xf>
    <xf numFmtId="181" fontId="8" fillId="5" borderId="1" xfId="0" applyNumberFormat="1" applyFont="1" applyFill="1" applyBorder="1" applyAlignment="1" applyProtection="1">
      <alignment horizontal="center" vertical="center"/>
      <protection hidden="1"/>
    </xf>
    <xf numFmtId="181" fontId="4" fillId="5" borderId="1" xfId="0" applyNumberFormat="1" applyFont="1" applyFill="1" applyBorder="1" applyAlignment="1" applyProtection="1">
      <alignment horizontal="center" vertical="center"/>
      <protection hidden="1"/>
    </xf>
    <xf numFmtId="0" fontId="4" fillId="2" borderId="1" xfId="0" applyFont="1" applyFill="1" applyBorder="1" applyAlignment="1" applyProtection="1">
      <alignment horizontal="left" vertical="center"/>
      <protection hidden="1"/>
    </xf>
    <xf numFmtId="3" fontId="4" fillId="2" borderId="5" xfId="0" applyNumberFormat="1" applyFont="1" applyFill="1" applyBorder="1" applyAlignment="1" applyProtection="1">
      <alignment horizontal="center" vertical="center"/>
      <protection hidden="1"/>
    </xf>
    <xf numFmtId="181" fontId="8" fillId="2" borderId="5" xfId="0" applyNumberFormat="1" applyFont="1" applyFill="1" applyBorder="1" applyAlignment="1" applyProtection="1">
      <alignment horizontal="center" vertical="center"/>
      <protection hidden="1"/>
    </xf>
    <xf numFmtId="181" fontId="4" fillId="2" borderId="5" xfId="0" applyNumberFormat="1" applyFont="1" applyFill="1" applyBorder="1" applyAlignment="1" applyProtection="1">
      <alignment horizontal="center" vertical="center"/>
      <protection hidden="1"/>
    </xf>
    <xf numFmtId="4" fontId="9" fillId="6" borderId="6" xfId="0" applyNumberFormat="1" applyFont="1" applyFill="1" applyBorder="1" applyAlignment="1" applyProtection="1">
      <alignment horizontal="center" vertical="center" wrapText="1"/>
      <protection hidden="1"/>
    </xf>
    <xf numFmtId="181" fontId="9" fillId="6" borderId="6" xfId="0" applyNumberFormat="1" applyFont="1" applyFill="1" applyBorder="1" applyAlignment="1" applyProtection="1">
      <alignment horizontal="center" vertical="center" wrapText="1"/>
      <protection hidden="1"/>
    </xf>
    <xf numFmtId="4" fontId="4" fillId="2" borderId="1" xfId="0" applyNumberFormat="1" applyFont="1" applyFill="1" applyBorder="1" applyAlignment="1" applyProtection="1">
      <alignment horizontal="center" vertical="center"/>
      <protection hidden="1"/>
    </xf>
    <xf numFmtId="1" fontId="4" fillId="2" borderId="1" xfId="0" applyNumberFormat="1" applyFont="1" applyFill="1" applyBorder="1" applyAlignment="1" applyProtection="1">
      <alignment horizontal="center" vertical="center"/>
      <protection hidden="1"/>
    </xf>
    <xf numFmtId="4" fontId="4" fillId="5" borderId="1" xfId="0" applyNumberFormat="1" applyFont="1" applyFill="1" applyBorder="1" applyAlignment="1" applyProtection="1">
      <alignment horizontal="center" vertical="center"/>
      <protection hidden="1"/>
    </xf>
    <xf numFmtId="1" fontId="4" fillId="5" borderId="1" xfId="0" applyNumberFormat="1" applyFont="1" applyFill="1" applyBorder="1" applyAlignment="1" applyProtection="1">
      <alignment horizontal="center" vertical="center"/>
      <protection hidden="1"/>
    </xf>
    <xf numFmtId="4" fontId="9" fillId="6" borderId="7" xfId="0" applyNumberFormat="1" applyFont="1" applyFill="1" applyBorder="1" applyAlignment="1" applyProtection="1">
      <alignment horizontal="center" vertical="center" wrapText="1"/>
      <protection hidden="1"/>
    </xf>
    <xf numFmtId="4" fontId="9" fillId="6" borderId="8" xfId="0" applyNumberFormat="1" applyFont="1" applyFill="1" applyBorder="1" applyAlignment="1" applyProtection="1">
      <alignment horizontal="center" vertical="center" wrapText="1"/>
      <protection hidden="1"/>
    </xf>
    <xf numFmtId="181" fontId="9" fillId="6" borderId="9" xfId="0" applyNumberFormat="1" applyFont="1" applyFill="1" applyBorder="1" applyAlignment="1" applyProtection="1">
      <alignment horizontal="center" vertical="center" wrapText="1"/>
      <protection hidden="1"/>
    </xf>
    <xf numFmtId="0" fontId="4" fillId="2" borderId="0" xfId="0" applyFont="1" applyFill="1" applyAlignment="1" applyProtection="1">
      <alignment horizontal="center" vertical="center"/>
      <protection hidden="1"/>
    </xf>
    <xf numFmtId="0" fontId="2" fillId="4" borderId="2" xfId="0" applyFont="1" applyFill="1" applyBorder="1" applyProtection="1">
      <alignment vertical="center"/>
      <protection hidden="1"/>
    </xf>
    <xf numFmtId="0" fontId="2" fillId="4" borderId="3" xfId="0" applyFont="1" applyFill="1" applyBorder="1" applyProtection="1">
      <alignment vertical="center"/>
      <protection hidden="1"/>
    </xf>
    <xf numFmtId="0" fontId="2" fillId="4" borderId="4" xfId="0" applyFont="1" applyFill="1" applyBorder="1" applyProtection="1">
      <alignment vertical="center"/>
      <protection hidden="1"/>
    </xf>
    <xf numFmtId="0" fontId="10" fillId="4" borderId="1" xfId="0" applyFont="1" applyFill="1" applyBorder="1" applyAlignment="1" applyProtection="1">
      <alignment horizontal="center" vertical="center"/>
      <protection hidden="1"/>
    </xf>
    <xf numFmtId="180" fontId="10" fillId="4" borderId="1" xfId="0" applyNumberFormat="1" applyFont="1" applyFill="1" applyBorder="1" applyAlignment="1" applyProtection="1">
      <alignment horizontal="center" vertical="center"/>
      <protection hidden="1"/>
    </xf>
    <xf numFmtId="0" fontId="10" fillId="4" borderId="1" xfId="0" applyFont="1" applyFill="1" applyBorder="1" applyAlignment="1" applyProtection="1">
      <alignment horizontal="center" vertical="center" wrapText="1"/>
      <protection hidden="1"/>
    </xf>
    <xf numFmtId="0" fontId="1" fillId="2" borderId="1" xfId="0" applyFont="1" applyFill="1" applyBorder="1" applyAlignment="1" applyProtection="1">
      <alignment horizontal="left" vertical="center"/>
      <protection hidden="1"/>
    </xf>
    <xf numFmtId="0" fontId="1" fillId="2" borderId="1" xfId="0" applyFont="1" applyFill="1" applyBorder="1" applyAlignment="1" applyProtection="1">
      <alignment horizontal="center" vertical="center"/>
      <protection hidden="1"/>
    </xf>
    <xf numFmtId="0" fontId="1" fillId="2" borderId="1" xfId="0" applyFont="1" applyFill="1" applyBorder="1" applyProtection="1">
      <alignment vertical="center"/>
      <protection hidden="1"/>
    </xf>
    <xf numFmtId="181" fontId="1" fillId="2" borderId="1" xfId="0" applyNumberFormat="1" applyFont="1" applyFill="1" applyBorder="1" applyAlignment="1" applyProtection="1">
      <alignment horizontal="center" vertical="center"/>
      <protection hidden="1"/>
    </xf>
    <xf numFmtId="181" fontId="1" fillId="2" borderId="0" xfId="0" applyNumberFormat="1" applyFont="1" applyFill="1" applyAlignment="1" applyProtection="1">
      <alignment horizontal="center" vertical="center"/>
      <protection hidden="1"/>
    </xf>
    <xf numFmtId="0" fontId="1" fillId="2" borderId="5" xfId="0" applyFont="1" applyFill="1" applyBorder="1" applyAlignment="1" applyProtection="1">
      <alignment horizontal="left" vertical="center"/>
      <protection hidden="1"/>
    </xf>
    <xf numFmtId="0" fontId="1" fillId="2" borderId="5" xfId="0" applyFont="1" applyFill="1" applyBorder="1" applyAlignment="1" applyProtection="1">
      <alignment horizontal="center" vertical="center"/>
      <protection hidden="1"/>
    </xf>
    <xf numFmtId="181" fontId="1" fillId="2" borderId="5" xfId="0" applyNumberFormat="1" applyFont="1" applyFill="1" applyBorder="1" applyAlignment="1" applyProtection="1">
      <alignment horizontal="center" vertical="center"/>
      <protection hidden="1"/>
    </xf>
    <xf numFmtId="0" fontId="3" fillId="2" borderId="10" xfId="0" applyFont="1" applyFill="1" applyBorder="1" applyProtection="1">
      <alignment vertical="center"/>
      <protection hidden="1"/>
    </xf>
    <xf numFmtId="0" fontId="3" fillId="5" borderId="1" xfId="0" applyFont="1" applyFill="1" applyBorder="1" applyAlignment="1" applyProtection="1">
      <alignment horizontal="center" vertical="center"/>
      <protection hidden="1"/>
    </xf>
    <xf numFmtId="4" fontId="3" fillId="5" borderId="1" xfId="0" applyNumberFormat="1" applyFont="1" applyFill="1" applyBorder="1" applyAlignment="1" applyProtection="1">
      <alignment horizontal="center" vertical="center"/>
      <protection hidden="1"/>
    </xf>
    <xf numFmtId="181" fontId="3" fillId="5" borderId="1" xfId="0" applyNumberFormat="1" applyFont="1" applyFill="1" applyBorder="1" applyAlignment="1" applyProtection="1">
      <alignment horizontal="center" vertical="center"/>
      <protection hidden="1"/>
    </xf>
    <xf numFmtId="0" fontId="1" fillId="2" borderId="11" xfId="0" applyFont="1" applyFill="1" applyBorder="1" applyAlignment="1" applyProtection="1">
      <alignment horizontal="center" vertical="center"/>
      <protection hidden="1"/>
    </xf>
    <xf numFmtId="0" fontId="1" fillId="2" borderId="11" xfId="0" applyFont="1" applyFill="1" applyBorder="1" applyProtection="1">
      <alignment vertical="center"/>
      <protection hidden="1"/>
    </xf>
    <xf numFmtId="181" fontId="1" fillId="2" borderId="11" xfId="0" applyNumberFormat="1" applyFont="1" applyFill="1" applyBorder="1" applyAlignment="1" applyProtection="1">
      <alignment horizontal="center" vertical="center"/>
      <protection hidden="1"/>
    </xf>
    <xf numFmtId="181" fontId="4" fillId="2" borderId="0" xfId="0" applyNumberFormat="1" applyFont="1" applyFill="1" applyProtection="1">
      <alignment vertical="center"/>
      <protection hidden="1"/>
    </xf>
    <xf numFmtId="0" fontId="3" fillId="2" borderId="0" xfId="0" applyFont="1" applyFill="1" applyProtection="1">
      <alignment vertical="center"/>
      <protection hidden="1"/>
    </xf>
    <xf numFmtId="0" fontId="11" fillId="6" borderId="6" xfId="0" applyFont="1" applyFill="1" applyBorder="1" applyAlignment="1" applyProtection="1">
      <alignment horizontal="center" vertical="center"/>
      <protection hidden="1"/>
    </xf>
    <xf numFmtId="4" fontId="11" fillId="6" borderId="6" xfId="0" applyNumberFormat="1" applyFont="1" applyFill="1" applyBorder="1" applyAlignment="1" applyProtection="1">
      <alignment horizontal="center" vertical="center"/>
      <protection hidden="1"/>
    </xf>
    <xf numFmtId="181" fontId="11" fillId="6" borderId="6" xfId="0" applyNumberFormat="1" applyFont="1" applyFill="1" applyBorder="1" applyAlignment="1" applyProtection="1">
      <alignment horizontal="center" vertical="center"/>
      <protection hidden="1"/>
    </xf>
    <xf numFmtId="0" fontId="3" fillId="2" borderId="0" xfId="0" applyFont="1" applyFill="1" applyAlignment="1" applyProtection="1">
      <alignment vertical="center" wrapText="1"/>
      <protection hidden="1"/>
    </xf>
    <xf numFmtId="0" fontId="3" fillId="2" borderId="12" xfId="0" applyFont="1" applyFill="1" applyBorder="1" applyAlignment="1" applyProtection="1">
      <alignment vertical="center" wrapText="1"/>
      <protection hidden="1"/>
    </xf>
    <xf numFmtId="0" fontId="3" fillId="4" borderId="13" xfId="0" applyFont="1" applyFill="1" applyBorder="1" applyAlignment="1" applyProtection="1">
      <alignment horizontal="center" vertical="center" wrapText="1"/>
      <protection hidden="1"/>
    </xf>
    <xf numFmtId="0" fontId="3" fillId="4" borderId="14" xfId="0" applyFont="1" applyFill="1" applyBorder="1" applyAlignment="1" applyProtection="1">
      <alignment horizontal="center" vertical="center" wrapText="1"/>
      <protection hidden="1"/>
    </xf>
    <xf numFmtId="0" fontId="3" fillId="4" borderId="15" xfId="0" applyFont="1" applyFill="1" applyBorder="1" applyAlignment="1" applyProtection="1">
      <alignment horizontal="center" vertical="center" wrapText="1"/>
      <protection hidden="1"/>
    </xf>
    <xf numFmtId="0" fontId="12" fillId="2" borderId="0" xfId="0" applyFont="1" applyFill="1" applyAlignment="1" applyProtection="1">
      <alignment vertical="center" wrapText="1"/>
      <protection hidden="1"/>
    </xf>
    <xf numFmtId="0" fontId="12" fillId="2" borderId="12" xfId="0" applyFont="1" applyFill="1" applyBorder="1" applyAlignment="1" applyProtection="1">
      <alignment vertical="center" wrapText="1"/>
      <protection hidden="1"/>
    </xf>
    <xf numFmtId="0" fontId="12" fillId="4" borderId="13" xfId="0" applyFont="1" applyFill="1" applyBorder="1" applyAlignment="1" applyProtection="1">
      <alignment horizontal="center" vertical="center" wrapText="1"/>
      <protection hidden="1"/>
    </xf>
    <xf numFmtId="0" fontId="12" fillId="4" borderId="14" xfId="0" applyFont="1" applyFill="1" applyBorder="1" applyAlignment="1" applyProtection="1">
      <alignment horizontal="center" vertical="center" wrapText="1"/>
      <protection hidden="1"/>
    </xf>
    <xf numFmtId="0" fontId="12" fillId="4" borderId="15" xfId="0" applyFont="1" applyFill="1" applyBorder="1" applyAlignment="1" applyProtection="1">
      <alignment horizontal="center" vertical="center" wrapText="1"/>
      <protection hidden="1"/>
    </xf>
    <xf numFmtId="0" fontId="12" fillId="4" borderId="16" xfId="0" applyFont="1" applyFill="1" applyBorder="1" applyAlignment="1" applyProtection="1">
      <alignment horizontal="center" vertical="center" wrapText="1"/>
      <protection hidden="1"/>
    </xf>
    <xf numFmtId="0" fontId="4" fillId="2" borderId="17" xfId="0" applyFont="1" applyFill="1" applyBorder="1" applyAlignment="1" applyProtection="1">
      <alignment horizontal="center" vertical="center" wrapText="1"/>
      <protection hidden="1"/>
    </xf>
    <xf numFmtId="0" fontId="2" fillId="4" borderId="5" xfId="0" applyFont="1" applyFill="1" applyBorder="1" applyAlignment="1" applyProtection="1">
      <alignment horizontal="center" vertical="center"/>
      <protection hidden="1"/>
    </xf>
    <xf numFmtId="0" fontId="12" fillId="4" borderId="5" xfId="0" applyFont="1" applyFill="1" applyBorder="1" applyAlignment="1" applyProtection="1">
      <alignment horizontal="center" vertical="center" wrapText="1"/>
      <protection hidden="1"/>
    </xf>
    <xf numFmtId="180" fontId="2" fillId="2" borderId="0" xfId="0" applyNumberFormat="1" applyFont="1" applyFill="1" applyAlignment="1" applyProtection="1">
      <alignment horizontal="center" vertical="center"/>
      <protection hidden="1"/>
    </xf>
    <xf numFmtId="0" fontId="2" fillId="4" borderId="11" xfId="0" applyFont="1" applyFill="1" applyBorder="1" applyAlignment="1" applyProtection="1">
      <alignment horizontal="center" vertical="center"/>
      <protection hidden="1"/>
    </xf>
    <xf numFmtId="0" fontId="12" fillId="4" borderId="11" xfId="0" applyFont="1" applyFill="1" applyBorder="1" applyAlignment="1" applyProtection="1">
      <alignment horizontal="center" vertical="center" wrapText="1"/>
      <protection hidden="1"/>
    </xf>
    <xf numFmtId="0" fontId="12" fillId="4" borderId="1" xfId="0" applyFont="1" applyFill="1" applyBorder="1" applyAlignment="1" applyProtection="1">
      <alignment horizontal="center" vertical="center" wrapText="1"/>
      <protection hidden="1"/>
    </xf>
    <xf numFmtId="181" fontId="4" fillId="2" borderId="11" xfId="0" applyNumberFormat="1" applyFont="1" applyFill="1" applyBorder="1" applyAlignment="1" applyProtection="1">
      <alignment horizontal="center" vertical="center"/>
      <protection hidden="1"/>
    </xf>
    <xf numFmtId="0" fontId="4" fillId="2" borderId="5" xfId="0" applyFont="1" applyFill="1" applyBorder="1" applyAlignment="1" applyProtection="1">
      <alignment horizontal="justify" vertical="center"/>
      <protection hidden="1"/>
    </xf>
    <xf numFmtId="0" fontId="4" fillId="5" borderId="5" xfId="0" applyFont="1" applyFill="1" applyBorder="1" applyAlignment="1" applyProtection="1">
      <alignment horizontal="justify" vertical="center"/>
      <protection hidden="1"/>
    </xf>
    <xf numFmtId="181" fontId="4" fillId="5" borderId="5" xfId="0" applyNumberFormat="1" applyFont="1" applyFill="1" applyBorder="1" applyAlignment="1" applyProtection="1">
      <alignment horizontal="center" vertical="center"/>
      <protection hidden="1"/>
    </xf>
    <xf numFmtId="181" fontId="8" fillId="5" borderId="5" xfId="0" applyNumberFormat="1" applyFont="1" applyFill="1" applyBorder="1" applyAlignment="1" applyProtection="1">
      <alignment horizontal="center" vertical="center"/>
      <protection hidden="1"/>
    </xf>
    <xf numFmtId="0" fontId="13" fillId="2" borderId="0" xfId="0" applyFont="1" applyFill="1" applyProtection="1">
      <alignment vertical="center"/>
      <protection hidden="1"/>
    </xf>
    <xf numFmtId="180" fontId="4" fillId="2" borderId="0" xfId="0" applyNumberFormat="1" applyFont="1" applyFill="1" applyAlignment="1" applyProtection="1">
      <alignment horizontal="center" vertical="center"/>
      <protection hidden="1"/>
    </xf>
    <xf numFmtId="0" fontId="4" fillId="2" borderId="0" xfId="0" applyFont="1" applyFill="1" applyAlignment="1" applyProtection="1">
      <alignment horizontal="left" vertical="center"/>
      <protection hidden="1"/>
    </xf>
    <xf numFmtId="0" fontId="7" fillId="3" borderId="2" xfId="0" applyFont="1" applyFill="1" applyBorder="1" applyAlignment="1" applyProtection="1">
      <alignment horizontal="center" vertical="distributed"/>
      <protection hidden="1"/>
    </xf>
    <xf numFmtId="0" fontId="7" fillId="3" borderId="3" xfId="0" applyFont="1" applyFill="1" applyBorder="1" applyAlignment="1" applyProtection="1">
      <alignment horizontal="center" vertical="distributed"/>
      <protection hidden="1"/>
    </xf>
    <xf numFmtId="0" fontId="7" fillId="3" borderId="4" xfId="0" applyFont="1" applyFill="1" applyBorder="1" applyAlignment="1" applyProtection="1">
      <alignment horizontal="center" vertical="distributed"/>
      <protection hidden="1"/>
    </xf>
    <xf numFmtId="0" fontId="2" fillId="4" borderId="11" xfId="0" applyFont="1" applyFill="1" applyBorder="1" applyAlignment="1" applyProtection="1">
      <alignment horizontal="center" vertical="center" wrapText="1"/>
      <protection hidden="1"/>
    </xf>
    <xf numFmtId="180" fontId="8" fillId="2" borderId="1" xfId="0" applyNumberFormat="1" applyFont="1" applyFill="1" applyBorder="1" applyAlignment="1" applyProtection="1">
      <alignment horizontal="center" vertical="center"/>
      <protection hidden="1"/>
    </xf>
    <xf numFmtId="180" fontId="4" fillId="2" borderId="1" xfId="0" applyNumberFormat="1" applyFont="1" applyFill="1" applyBorder="1" applyAlignment="1" applyProtection="1">
      <alignment horizontal="center" vertical="center"/>
      <protection hidden="1"/>
    </xf>
    <xf numFmtId="0" fontId="4" fillId="2" borderId="11" xfId="0" applyFont="1" applyFill="1" applyBorder="1" applyAlignment="1" applyProtection="1">
      <alignment horizontal="justify" vertical="center"/>
      <protection hidden="1"/>
    </xf>
    <xf numFmtId="0" fontId="4" fillId="7" borderId="5" xfId="0" applyFont="1" applyFill="1" applyBorder="1" applyAlignment="1" applyProtection="1">
      <alignment horizontal="justify" vertical="center"/>
      <protection hidden="1"/>
    </xf>
    <xf numFmtId="3" fontId="4" fillId="7" borderId="1" xfId="0" applyNumberFormat="1" applyFont="1" applyFill="1" applyBorder="1" applyAlignment="1" applyProtection="1">
      <alignment horizontal="center" vertical="center"/>
      <protection hidden="1"/>
    </xf>
    <xf numFmtId="180" fontId="8" fillId="7" borderId="1" xfId="0" applyNumberFormat="1" applyFont="1" applyFill="1" applyBorder="1" applyAlignment="1" applyProtection="1">
      <alignment horizontal="center" vertical="center"/>
      <protection hidden="1"/>
    </xf>
    <xf numFmtId="180" fontId="4" fillId="7" borderId="1" xfId="0" applyNumberFormat="1" applyFont="1" applyFill="1" applyBorder="1" applyAlignment="1" applyProtection="1">
      <alignment horizontal="center" vertical="center"/>
      <protection hidden="1"/>
    </xf>
    <xf numFmtId="0" fontId="4" fillId="7" borderId="11" xfId="0" applyFont="1" applyFill="1" applyBorder="1" applyAlignment="1" applyProtection="1">
      <alignment horizontal="justify" vertical="center"/>
      <protection hidden="1"/>
    </xf>
    <xf numFmtId="0" fontId="4" fillId="7" borderId="1" xfId="0" applyFont="1" applyFill="1" applyBorder="1" applyAlignment="1" applyProtection="1">
      <alignment horizontal="justify" vertical="center"/>
      <protection hidden="1"/>
    </xf>
    <xf numFmtId="0" fontId="4" fillId="2" borderId="5" xfId="0" applyFont="1" applyFill="1" applyBorder="1" applyAlignment="1" applyProtection="1">
      <alignment horizontal="left" vertical="center"/>
      <protection hidden="1"/>
    </xf>
    <xf numFmtId="0" fontId="4" fillId="2" borderId="11" xfId="0" applyFont="1" applyFill="1" applyBorder="1" applyAlignment="1" applyProtection="1">
      <alignment horizontal="left" vertical="center"/>
      <protection hidden="1"/>
    </xf>
    <xf numFmtId="0" fontId="4" fillId="7" borderId="5" xfId="0" applyFont="1" applyFill="1" applyBorder="1" applyAlignment="1" applyProtection="1">
      <alignment horizontal="left" vertical="center"/>
      <protection hidden="1"/>
    </xf>
    <xf numFmtId="0" fontId="4" fillId="7" borderId="11" xfId="0" applyFont="1" applyFill="1" applyBorder="1" applyAlignment="1" applyProtection="1">
      <alignment horizontal="left" vertical="center"/>
      <protection hidden="1"/>
    </xf>
    <xf numFmtId="180" fontId="9" fillId="6" borderId="6" xfId="0" applyNumberFormat="1" applyFont="1" applyFill="1" applyBorder="1" applyAlignment="1" applyProtection="1">
      <alignment horizontal="center" vertical="center" wrapText="1"/>
      <protection hidden="1"/>
    </xf>
    <xf numFmtId="183" fontId="4" fillId="2" borderId="1" xfId="0" applyNumberFormat="1" applyFont="1" applyFill="1" applyBorder="1" applyAlignment="1" applyProtection="1">
      <alignment horizontal="center" vertical="center"/>
      <protection hidden="1"/>
    </xf>
    <xf numFmtId="4" fontId="4" fillId="7" borderId="1" xfId="0" applyNumberFormat="1" applyFont="1" applyFill="1" applyBorder="1" applyAlignment="1" applyProtection="1">
      <alignment horizontal="center" vertical="center"/>
      <protection hidden="1"/>
    </xf>
    <xf numFmtId="1" fontId="4" fillId="7" borderId="1" xfId="0" applyNumberFormat="1" applyFont="1" applyFill="1" applyBorder="1" applyAlignment="1" applyProtection="1">
      <alignment horizontal="center" vertical="center"/>
      <protection hidden="1"/>
    </xf>
    <xf numFmtId="183" fontId="4" fillId="7" borderId="1" xfId="0" applyNumberFormat="1" applyFont="1" applyFill="1" applyBorder="1" applyAlignment="1" applyProtection="1">
      <alignment horizontal="center" vertical="center"/>
      <protection hidden="1"/>
    </xf>
    <xf numFmtId="180" fontId="9" fillId="6" borderId="9" xfId="0" applyNumberFormat="1" applyFont="1" applyFill="1" applyBorder="1" applyAlignment="1" applyProtection="1">
      <alignment horizontal="center" vertical="center" wrapText="1"/>
      <protection hidden="1"/>
    </xf>
    <xf numFmtId="183" fontId="9" fillId="6" borderId="9" xfId="0" applyNumberFormat="1" applyFont="1" applyFill="1" applyBorder="1" applyAlignment="1" applyProtection="1">
      <alignment horizontal="center" vertical="center" wrapText="1"/>
      <protection hidden="1"/>
    </xf>
    <xf numFmtId="0" fontId="10" fillId="4" borderId="2" xfId="0" applyFont="1" applyFill="1" applyBorder="1" applyAlignment="1" applyProtection="1">
      <alignment horizontal="center" vertical="center"/>
      <protection hidden="1"/>
    </xf>
    <xf numFmtId="0" fontId="10" fillId="4" borderId="4" xfId="0" applyFont="1" applyFill="1" applyBorder="1" applyAlignment="1" applyProtection="1">
      <alignment horizontal="center" vertical="center"/>
      <protection hidden="1"/>
    </xf>
    <xf numFmtId="0" fontId="1" fillId="2" borderId="2" xfId="0" applyFont="1" applyFill="1" applyBorder="1" applyAlignment="1" applyProtection="1">
      <alignment horizontal="center" vertical="center"/>
      <protection hidden="1"/>
    </xf>
    <xf numFmtId="0" fontId="1" fillId="2" borderId="4" xfId="0" applyFont="1" applyFill="1" applyBorder="1" applyAlignment="1" applyProtection="1">
      <alignment horizontal="center" vertical="center"/>
      <protection hidden="1"/>
    </xf>
    <xf numFmtId="180" fontId="1" fillId="2" borderId="1" xfId="0" applyNumberFormat="1" applyFont="1" applyFill="1" applyBorder="1" applyAlignment="1" applyProtection="1">
      <alignment horizontal="center" vertical="center"/>
      <protection hidden="1"/>
    </xf>
    <xf numFmtId="183" fontId="1" fillId="2" borderId="1" xfId="0" applyNumberFormat="1" applyFont="1" applyFill="1" applyBorder="1" applyAlignment="1" applyProtection="1">
      <alignment horizontal="center" vertical="center"/>
      <protection hidden="1"/>
    </xf>
    <xf numFmtId="180" fontId="1" fillId="2" borderId="5" xfId="0" applyNumberFormat="1" applyFont="1" applyFill="1" applyBorder="1" applyAlignment="1" applyProtection="1">
      <alignment horizontal="center" vertical="center"/>
      <protection hidden="1"/>
    </xf>
    <xf numFmtId="183" fontId="1" fillId="2" borderId="5" xfId="0" applyNumberFormat="1" applyFont="1" applyFill="1" applyBorder="1" applyAlignment="1" applyProtection="1">
      <alignment horizontal="center" vertical="center"/>
      <protection hidden="1"/>
    </xf>
    <xf numFmtId="0" fontId="3" fillId="8" borderId="2" xfId="0" applyFont="1" applyFill="1" applyBorder="1" applyAlignment="1" applyProtection="1">
      <alignment horizontal="center" vertical="center"/>
      <protection hidden="1"/>
    </xf>
    <xf numFmtId="0" fontId="3" fillId="8" borderId="4" xfId="0" applyFont="1" applyFill="1" applyBorder="1" applyAlignment="1" applyProtection="1">
      <alignment horizontal="center" vertical="center"/>
      <protection hidden="1"/>
    </xf>
    <xf numFmtId="180" fontId="3" fillId="8" borderId="1" xfId="0" applyNumberFormat="1" applyFont="1" applyFill="1" applyBorder="1" applyAlignment="1" applyProtection="1">
      <alignment horizontal="center" vertical="center"/>
      <protection hidden="1"/>
    </xf>
    <xf numFmtId="180" fontId="1" fillId="2" borderId="11" xfId="0" applyNumberFormat="1" applyFont="1" applyFill="1" applyBorder="1" applyAlignment="1" applyProtection="1">
      <alignment horizontal="center" vertical="center"/>
      <protection hidden="1"/>
    </xf>
    <xf numFmtId="183" fontId="1" fillId="2" borderId="11" xfId="0" applyNumberFormat="1" applyFont="1" applyFill="1" applyBorder="1" applyAlignment="1" applyProtection="1">
      <alignment horizontal="center" vertical="center"/>
      <protection hidden="1"/>
    </xf>
    <xf numFmtId="0" fontId="11" fillId="6" borderId="18" xfId="0" applyFont="1" applyFill="1" applyBorder="1" applyAlignment="1" applyProtection="1">
      <alignment horizontal="center" vertical="center"/>
      <protection hidden="1"/>
    </xf>
    <xf numFmtId="0" fontId="11" fillId="6" borderId="19" xfId="0" applyFont="1" applyFill="1" applyBorder="1" applyAlignment="1" applyProtection="1">
      <alignment horizontal="center" vertical="center"/>
      <protection hidden="1"/>
    </xf>
    <xf numFmtId="180" fontId="11" fillId="6" borderId="6" xfId="0" applyNumberFormat="1" applyFont="1" applyFill="1" applyBorder="1" applyAlignment="1" applyProtection="1">
      <alignment horizontal="center" vertical="center"/>
      <protection hidden="1"/>
    </xf>
    <xf numFmtId="184" fontId="4" fillId="2" borderId="0" xfId="0" applyNumberFormat="1" applyFont="1" applyFill="1" applyProtection="1">
      <alignment vertical="center"/>
      <protection hidden="1"/>
    </xf>
    <xf numFmtId="0" fontId="1" fillId="2" borderId="0" xfId="0" applyFont="1" applyFill="1" applyProtection="1">
      <alignment vertical="center"/>
      <protection hidden="1"/>
    </xf>
    <xf numFmtId="0" fontId="11" fillId="3" borderId="1" xfId="0" applyFont="1" applyFill="1" applyBorder="1" applyAlignment="1" applyProtection="1">
      <alignment horizontal="center" vertical="center" wrapText="1"/>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4"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wrapText="1"/>
      <protection hidden="1"/>
    </xf>
    <xf numFmtId="0" fontId="1" fillId="2" borderId="1" xfId="0" applyFont="1" applyFill="1" applyBorder="1" applyAlignment="1" applyProtection="1">
      <alignment horizontal="center" vertical="center" wrapText="1"/>
      <protection hidden="1"/>
    </xf>
    <xf numFmtId="0" fontId="7" fillId="3" borderId="20" xfId="0" applyFont="1" applyFill="1" applyBorder="1" applyAlignment="1" applyProtection="1">
      <alignment horizontal="center" vertical="distributed"/>
      <protection hidden="1"/>
    </xf>
    <xf numFmtId="0" fontId="7" fillId="3" borderId="0" xfId="0" applyFont="1" applyFill="1" applyAlignment="1" applyProtection="1">
      <alignment horizontal="center" vertical="distributed"/>
      <protection hidden="1"/>
    </xf>
    <xf numFmtId="0" fontId="2" fillId="4" borderId="21" xfId="0" applyFont="1" applyFill="1" applyBorder="1" applyAlignment="1" applyProtection="1">
      <alignment horizontal="center" vertical="center"/>
      <protection hidden="1"/>
    </xf>
    <xf numFmtId="0" fontId="2" fillId="4" borderId="5" xfId="0" applyFont="1" applyFill="1" applyBorder="1" applyAlignment="1" applyProtection="1">
      <alignment horizontal="center" vertical="center" wrapText="1"/>
      <protection hidden="1"/>
    </xf>
    <xf numFmtId="0" fontId="2" fillId="4" borderId="22" xfId="0" applyFont="1" applyFill="1" applyBorder="1" applyAlignment="1" applyProtection="1">
      <alignment horizontal="center" vertical="center"/>
      <protection hidden="1"/>
    </xf>
    <xf numFmtId="0" fontId="2" fillId="4" borderId="23" xfId="0" applyFont="1" applyFill="1" applyBorder="1" applyAlignment="1" applyProtection="1">
      <alignment horizontal="center" vertical="center"/>
      <protection hidden="1"/>
    </xf>
    <xf numFmtId="0" fontId="2" fillId="4" borderId="24" xfId="0" applyFont="1" applyFill="1" applyBorder="1" applyAlignment="1" applyProtection="1">
      <alignment horizontal="center" vertical="center"/>
      <protection hidden="1"/>
    </xf>
    <xf numFmtId="0" fontId="4" fillId="7" borderId="2" xfId="0" applyFont="1" applyFill="1" applyBorder="1" applyAlignment="1" applyProtection="1">
      <alignment horizontal="justify" vertical="center"/>
      <protection hidden="1"/>
    </xf>
    <xf numFmtId="0" fontId="4" fillId="7" borderId="1" xfId="0" applyFont="1" applyFill="1" applyBorder="1" applyAlignment="1" applyProtection="1">
      <alignment horizontal="center" vertical="center"/>
      <protection hidden="1"/>
    </xf>
    <xf numFmtId="0" fontId="8" fillId="7" borderId="1" xfId="0" applyFont="1" applyFill="1" applyBorder="1" applyAlignment="1" applyProtection="1">
      <alignment horizontal="center" vertical="center"/>
      <protection hidden="1"/>
    </xf>
    <xf numFmtId="180" fontId="4" fillId="7" borderId="11" xfId="0" applyNumberFormat="1" applyFont="1" applyFill="1" applyBorder="1" applyAlignment="1" applyProtection="1">
      <alignment horizontal="center" vertical="center"/>
      <protection hidden="1"/>
    </xf>
    <xf numFmtId="0" fontId="4" fillId="2" borderId="2" xfId="0" applyFont="1" applyFill="1" applyBorder="1" applyAlignment="1" applyProtection="1">
      <alignment horizontal="justify" vertical="center"/>
      <protection hidden="1"/>
    </xf>
    <xf numFmtId="0" fontId="4" fillId="2" borderId="1" xfId="0" applyFont="1" applyFill="1" applyBorder="1" applyAlignment="1" applyProtection="1">
      <alignment horizontal="center" vertical="center"/>
      <protection hidden="1"/>
    </xf>
    <xf numFmtId="0" fontId="8" fillId="2" borderId="1" xfId="0" applyFont="1" applyFill="1" applyBorder="1" applyAlignment="1" applyProtection="1">
      <alignment horizontal="center" vertical="center"/>
      <protection hidden="1"/>
    </xf>
    <xf numFmtId="4" fontId="9" fillId="2" borderId="0" xfId="0" applyNumberFormat="1" applyFont="1" applyFill="1" applyAlignment="1" applyProtection="1">
      <alignment horizontal="center" vertical="center" wrapText="1"/>
      <protection hidden="1"/>
    </xf>
    <xf numFmtId="180" fontId="9" fillId="0" borderId="9" xfId="0" applyNumberFormat="1" applyFont="1" applyBorder="1" applyAlignment="1" applyProtection="1">
      <alignment horizontal="center" vertical="center" wrapText="1"/>
      <protection hidden="1"/>
    </xf>
    <xf numFmtId="180" fontId="9" fillId="0" borderId="7" xfId="0" applyNumberFormat="1" applyFont="1" applyBorder="1" applyAlignment="1" applyProtection="1">
      <alignment horizontal="center" vertical="center" wrapText="1"/>
      <protection hidden="1"/>
    </xf>
    <xf numFmtId="4" fontId="9" fillId="6" borderId="25" xfId="0" applyNumberFormat="1" applyFont="1" applyFill="1" applyBorder="1" applyAlignment="1" applyProtection="1">
      <alignment horizontal="center" vertical="center" wrapText="1"/>
      <protection hidden="1"/>
    </xf>
    <xf numFmtId="4" fontId="9" fillId="6" borderId="26" xfId="0" applyNumberFormat="1" applyFont="1" applyFill="1" applyBorder="1" applyAlignment="1" applyProtection="1">
      <alignment horizontal="center" vertical="center" wrapText="1"/>
      <protection hidden="1"/>
    </xf>
    <xf numFmtId="180" fontId="9" fillId="6" borderId="26" xfId="0" applyNumberFormat="1" applyFont="1" applyFill="1" applyBorder="1" applyAlignment="1" applyProtection="1">
      <alignment horizontal="center" vertical="center" wrapText="1"/>
      <protection hidden="1"/>
    </xf>
    <xf numFmtId="180" fontId="9" fillId="6" borderId="27" xfId="0" applyNumberFormat="1" applyFont="1" applyFill="1" applyBorder="1" applyAlignment="1" applyProtection="1">
      <alignment horizontal="center" vertical="center" wrapText="1"/>
      <protection hidden="1"/>
    </xf>
    <xf numFmtId="0" fontId="4" fillId="2" borderId="0" xfId="0" applyFont="1" applyFill="1" applyAlignment="1" applyProtection="1">
      <alignment horizontal="justify" vertical="center"/>
      <protection hidden="1"/>
    </xf>
    <xf numFmtId="4" fontId="4" fillId="2" borderId="0" xfId="0" applyNumberFormat="1" applyFont="1" applyFill="1" applyAlignment="1" applyProtection="1">
      <alignment horizontal="center" vertical="center"/>
      <protection hidden="1"/>
    </xf>
    <xf numFmtId="0" fontId="8" fillId="2" borderId="0" xfId="0" applyFont="1" applyFill="1" applyAlignment="1" applyProtection="1">
      <alignment horizontal="center" vertical="center"/>
      <protection hidden="1"/>
    </xf>
    <xf numFmtId="183" fontId="4" fillId="2" borderId="0" xfId="0" applyNumberFormat="1" applyFont="1" applyFill="1" applyAlignment="1" applyProtection="1">
      <alignment horizontal="center" vertical="center"/>
      <protection hidden="1"/>
    </xf>
    <xf numFmtId="180" fontId="8" fillId="2" borderId="0" xfId="0" applyNumberFormat="1" applyFont="1" applyFill="1" applyAlignment="1" applyProtection="1">
      <alignment horizontal="center" vertical="center"/>
      <protection hidden="1"/>
    </xf>
    <xf numFmtId="0" fontId="2" fillId="4" borderId="1" xfId="0" applyFont="1" applyFill="1" applyBorder="1" applyAlignment="1" applyProtection="1">
      <alignment vertical="center" wrapText="1"/>
      <protection hidden="1"/>
    </xf>
    <xf numFmtId="3" fontId="8" fillId="7" borderId="1" xfId="0" applyNumberFormat="1" applyFont="1" applyFill="1" applyBorder="1" applyAlignment="1" applyProtection="1">
      <alignment horizontal="center" vertical="center"/>
      <protection hidden="1"/>
    </xf>
    <xf numFmtId="3" fontId="8" fillId="2" borderId="1" xfId="0" applyNumberFormat="1" applyFont="1" applyFill="1" applyBorder="1" applyAlignment="1" applyProtection="1">
      <alignment horizontal="center" vertical="center"/>
      <protection hidden="1"/>
    </xf>
    <xf numFmtId="183" fontId="4" fillId="2" borderId="5" xfId="0" applyNumberFormat="1" applyFont="1" applyFill="1" applyBorder="1" applyAlignment="1" applyProtection="1">
      <alignment horizontal="center" vertical="center"/>
      <protection hidden="1"/>
    </xf>
    <xf numFmtId="180" fontId="4" fillId="2" borderId="5" xfId="0" applyNumberFormat="1" applyFont="1" applyFill="1" applyBorder="1" applyAlignment="1" applyProtection="1">
      <alignment horizontal="center" vertical="center"/>
      <protection hidden="1"/>
    </xf>
    <xf numFmtId="180" fontId="8" fillId="2" borderId="5" xfId="0" applyNumberFormat="1" applyFont="1" applyFill="1" applyBorder="1" applyAlignment="1" applyProtection="1">
      <alignment horizontal="center" vertical="center"/>
      <protection hidden="1"/>
    </xf>
    <xf numFmtId="180" fontId="10" fillId="4" borderId="2" xfId="0" applyNumberFormat="1" applyFont="1" applyFill="1" applyBorder="1" applyAlignment="1" applyProtection="1">
      <alignment horizontal="center" vertical="center"/>
      <protection hidden="1"/>
    </xf>
    <xf numFmtId="180" fontId="10" fillId="4" borderId="4" xfId="0" applyNumberFormat="1" applyFont="1" applyFill="1" applyBorder="1" applyAlignment="1" applyProtection="1">
      <alignment horizontal="center" vertical="center"/>
      <protection hidden="1"/>
    </xf>
    <xf numFmtId="0" fontId="12" fillId="2" borderId="1" xfId="0" applyFont="1" applyFill="1" applyBorder="1" applyProtection="1">
      <alignment vertical="center"/>
      <protection hidden="1"/>
    </xf>
    <xf numFmtId="180" fontId="12" fillId="2" borderId="2" xfId="0" applyNumberFormat="1" applyFont="1" applyFill="1" applyBorder="1" applyAlignment="1" applyProtection="1">
      <alignment horizontal="center" vertical="center"/>
      <protection hidden="1"/>
    </xf>
    <xf numFmtId="0" fontId="12" fillId="2" borderId="4" xfId="0" applyFont="1" applyFill="1" applyBorder="1" applyAlignment="1" applyProtection="1">
      <alignment horizontal="center" vertical="center"/>
      <protection hidden="1"/>
    </xf>
    <xf numFmtId="180" fontId="12" fillId="2" borderId="4" xfId="0" applyNumberFormat="1" applyFont="1" applyFill="1" applyBorder="1" applyAlignment="1" applyProtection="1">
      <alignment horizontal="center" vertical="center"/>
      <protection hidden="1"/>
    </xf>
    <xf numFmtId="4" fontId="9" fillId="6" borderId="28" xfId="0" applyNumberFormat="1" applyFont="1" applyFill="1" applyBorder="1" applyAlignment="1" applyProtection="1">
      <alignment horizontal="center" vertical="center" wrapText="1"/>
      <protection hidden="1"/>
    </xf>
    <xf numFmtId="4" fontId="9" fillId="6" borderId="29" xfId="0" applyNumberFormat="1" applyFont="1" applyFill="1" applyBorder="1" applyAlignment="1" applyProtection="1">
      <alignment horizontal="center" vertical="center" wrapText="1"/>
      <protection hidden="1"/>
    </xf>
    <xf numFmtId="180" fontId="9" fillId="6" borderId="28" xfId="0" applyNumberFormat="1" applyFont="1" applyFill="1" applyBorder="1" applyAlignment="1" applyProtection="1">
      <alignment horizontal="center" vertical="center" wrapText="1"/>
      <protection hidden="1"/>
    </xf>
    <xf numFmtId="180" fontId="9" fillId="6" borderId="29" xfId="0" applyNumberFormat="1" applyFont="1" applyFill="1" applyBorder="1" applyAlignment="1" applyProtection="1">
      <alignment horizontal="center" vertical="center" wrapText="1"/>
      <protection hidden="1"/>
    </xf>
    <xf numFmtId="0" fontId="8" fillId="2" borderId="0" xfId="0" applyFont="1" applyFill="1" applyAlignment="1">
      <alignment horizontal="center" vertical="center" wrapText="1"/>
    </xf>
    <xf numFmtId="0" fontId="14" fillId="2" borderId="0" xfId="0" applyFont="1" applyFill="1" applyAlignment="1" applyProtection="1">
      <alignment horizontal="center" vertical="center" wrapText="1"/>
      <protection hidden="1"/>
    </xf>
    <xf numFmtId="0" fontId="15" fillId="2" borderId="0" xfId="0" applyFont="1" applyFill="1" applyAlignment="1">
      <alignment vertical="center" wrapText="1"/>
    </xf>
    <xf numFmtId="0" fontId="16" fillId="2" borderId="0" xfId="0" applyFont="1" applyFill="1" applyAlignment="1" applyProtection="1">
      <alignment horizontal="center" vertical="center" wrapText="1"/>
      <protection hidden="1"/>
    </xf>
    <xf numFmtId="4" fontId="4" fillId="2" borderId="0" xfId="0" applyNumberFormat="1" applyFont="1" applyFill="1" applyAlignment="1" applyProtection="1">
      <alignment horizontal="center" vertical="center" wrapText="1"/>
      <protection hidden="1"/>
    </xf>
    <xf numFmtId="0" fontId="4" fillId="2" borderId="0" xfId="0" applyFont="1" applyFill="1" applyAlignment="1" applyProtection="1">
      <alignment horizontal="center" vertical="center" wrapText="1"/>
      <protection hidden="1"/>
    </xf>
    <xf numFmtId="20" fontId="4" fillId="2" borderId="0" xfId="0" applyNumberFormat="1" applyFont="1" applyFill="1" applyAlignment="1">
      <alignment horizontal="center" vertical="center" wrapText="1"/>
    </xf>
    <xf numFmtId="0" fontId="17" fillId="9" borderId="30" xfId="0" applyFont="1" applyFill="1" applyBorder="1" applyAlignment="1">
      <alignment horizontal="center" vertical="center" wrapText="1"/>
    </xf>
    <xf numFmtId="0" fontId="17" fillId="9" borderId="31" xfId="0" applyFont="1" applyFill="1" applyBorder="1" applyAlignment="1">
      <alignment horizontal="center" vertical="center" wrapText="1"/>
    </xf>
    <xf numFmtId="0" fontId="17" fillId="9" borderId="32" xfId="0" applyFont="1" applyFill="1" applyBorder="1" applyAlignment="1">
      <alignment horizontal="center" vertical="center" wrapText="1"/>
    </xf>
    <xf numFmtId="0" fontId="17" fillId="2" borderId="0" xfId="0" applyFont="1" applyFill="1" applyAlignment="1">
      <alignment horizontal="center" vertical="center" wrapText="1"/>
    </xf>
    <xf numFmtId="0" fontId="18" fillId="2" borderId="33" xfId="0" applyFont="1" applyFill="1" applyBorder="1" applyAlignment="1">
      <alignment horizontal="center" vertical="center" wrapText="1"/>
    </xf>
    <xf numFmtId="0" fontId="18" fillId="2" borderId="31" xfId="0" applyFont="1" applyFill="1" applyBorder="1" applyAlignment="1">
      <alignment horizontal="center" vertical="center" wrapText="1"/>
    </xf>
    <xf numFmtId="0" fontId="18" fillId="2" borderId="34" xfId="0" applyFont="1" applyFill="1" applyBorder="1" applyAlignment="1">
      <alignment horizontal="center" vertical="center" wrapText="1"/>
    </xf>
    <xf numFmtId="0" fontId="18" fillId="2" borderId="0" xfId="0" applyFont="1" applyFill="1" applyAlignment="1">
      <alignment horizontal="center" vertical="center" wrapText="1"/>
    </xf>
    <xf numFmtId="0" fontId="8" fillId="2" borderId="33" xfId="0" applyFont="1" applyFill="1" applyBorder="1" applyAlignment="1">
      <alignment horizontal="left" vertical="center" wrapText="1"/>
    </xf>
    <xf numFmtId="0" fontId="8" fillId="2" borderId="35" xfId="0" applyFont="1" applyFill="1" applyBorder="1" applyAlignment="1">
      <alignment horizontal="left" vertical="center" wrapText="1"/>
    </xf>
    <xf numFmtId="0" fontId="8" fillId="2" borderId="34" xfId="0" applyFont="1" applyFill="1" applyBorder="1" applyAlignment="1">
      <alignment horizontal="left" vertical="center" wrapText="1"/>
    </xf>
    <xf numFmtId="0" fontId="8" fillId="2" borderId="0" xfId="0" applyFont="1" applyFill="1" applyAlignment="1">
      <alignment horizontal="left" vertical="center" wrapText="1"/>
    </xf>
    <xf numFmtId="0" fontId="8" fillId="2" borderId="0" xfId="0" applyFont="1" applyFill="1" applyAlignment="1">
      <alignment vertical="center" wrapText="1"/>
    </xf>
    <xf numFmtId="0" fontId="8" fillId="2" borderId="36" xfId="0" applyFont="1" applyFill="1" applyBorder="1" applyAlignment="1">
      <alignment horizontal="center" vertical="center" wrapText="1"/>
    </xf>
    <xf numFmtId="20" fontId="4" fillId="2" borderId="37" xfId="0" applyNumberFormat="1" applyFont="1" applyFill="1" applyBorder="1" applyAlignment="1">
      <alignment horizontal="center" vertical="center" wrapText="1"/>
    </xf>
    <xf numFmtId="20" fontId="4" fillId="2" borderId="38" xfId="0" applyNumberFormat="1" applyFont="1" applyFill="1" applyBorder="1" applyAlignment="1">
      <alignment horizontal="center" vertical="center" wrapText="1"/>
    </xf>
    <xf numFmtId="0" fontId="8" fillId="2" borderId="30" xfId="0" applyFont="1" applyFill="1" applyBorder="1" applyAlignment="1">
      <alignment horizontal="justify" vertical="center" wrapText="1"/>
    </xf>
    <xf numFmtId="0" fontId="8" fillId="2" borderId="31" xfId="0" applyFont="1" applyFill="1" applyBorder="1" applyAlignment="1">
      <alignment horizontal="justify" vertical="center" wrapText="1"/>
    </xf>
    <xf numFmtId="0" fontId="8" fillId="2" borderId="32" xfId="0" applyFont="1" applyFill="1" applyBorder="1" applyAlignment="1">
      <alignment horizontal="justify" vertical="center" wrapText="1"/>
    </xf>
    <xf numFmtId="0" fontId="8" fillId="2" borderId="0" xfId="0" applyFont="1" applyFill="1" applyAlignment="1">
      <alignment horizontal="justify" vertical="center" wrapText="1"/>
    </xf>
    <xf numFmtId="0" fontId="8" fillId="2" borderId="30" xfId="0" applyFont="1" applyFill="1" applyBorder="1" applyAlignment="1">
      <alignment horizontal="center" vertical="center" wrapText="1"/>
    </xf>
    <xf numFmtId="0" fontId="8" fillId="2" borderId="32" xfId="0" applyFont="1" applyFill="1" applyBorder="1" applyAlignment="1">
      <alignment horizontal="center" vertical="center" wrapText="1"/>
    </xf>
    <xf numFmtId="20" fontId="4" fillId="2" borderId="30" xfId="0" applyNumberFormat="1" applyFont="1" applyFill="1" applyBorder="1" applyAlignment="1">
      <alignment horizontal="center" vertical="center" wrapText="1"/>
    </xf>
    <xf numFmtId="20" fontId="4" fillId="2" borderId="32" xfId="0" applyNumberFormat="1" applyFont="1" applyFill="1" applyBorder="1" applyAlignment="1">
      <alignment horizontal="center" vertical="center" wrapText="1"/>
    </xf>
    <xf numFmtId="0" fontId="5" fillId="2" borderId="0" xfId="0" applyFont="1" applyFill="1" applyAlignment="1" applyProtection="1">
      <alignment horizontal="center" vertical="center" wrapText="1"/>
      <protection hidden="1"/>
    </xf>
    <xf numFmtId="4" fontId="5" fillId="2" borderId="0" xfId="0" applyNumberFormat="1" applyFont="1" applyFill="1" applyAlignment="1" applyProtection="1">
      <alignment horizontal="center" vertical="center" wrapText="1"/>
      <protection hidden="1"/>
    </xf>
    <xf numFmtId="20" fontId="4" fillId="2" borderId="36" xfId="0" applyNumberFormat="1" applyFont="1" applyFill="1" applyBorder="1" applyAlignment="1">
      <alignment horizontal="center" vertical="center" wrapText="1"/>
    </xf>
    <xf numFmtId="0" fontId="8" fillId="2" borderId="30" xfId="0" applyFont="1" applyFill="1" applyBorder="1" applyAlignment="1">
      <alignment horizontal="left" vertical="center" wrapText="1"/>
    </xf>
    <xf numFmtId="0" fontId="8" fillId="2" borderId="31" xfId="0" applyFont="1" applyFill="1" applyBorder="1" applyAlignment="1">
      <alignment horizontal="left" vertical="center" wrapText="1"/>
    </xf>
    <xf numFmtId="0" fontId="8" fillId="2" borderId="32" xfId="0" applyFont="1" applyFill="1" applyBorder="1" applyAlignment="1">
      <alignment horizontal="left" vertical="center" wrapText="1"/>
    </xf>
    <xf numFmtId="0" fontId="8" fillId="2" borderId="39" xfId="0" applyFont="1" applyFill="1" applyBorder="1" applyAlignment="1">
      <alignment horizontal="center" vertical="center" wrapText="1"/>
    </xf>
    <xf numFmtId="20" fontId="4" fillId="2" borderId="33" xfId="0" applyNumberFormat="1" applyFont="1" applyFill="1" applyBorder="1" applyAlignment="1">
      <alignment horizontal="center" vertical="center" wrapText="1"/>
    </xf>
    <xf numFmtId="20" fontId="4" fillId="2" borderId="35" xfId="0" applyNumberFormat="1" applyFont="1" applyFill="1" applyBorder="1" applyAlignment="1">
      <alignment horizontal="center" vertical="center" wrapText="1"/>
    </xf>
    <xf numFmtId="20" fontId="4" fillId="2" borderId="34" xfId="0" applyNumberFormat="1" applyFont="1" applyFill="1" applyBorder="1" applyAlignment="1">
      <alignment horizontal="center" vertical="center" wrapText="1"/>
    </xf>
    <xf numFmtId="0" fontId="12" fillId="2" borderId="33" xfId="0" applyFont="1" applyFill="1" applyBorder="1" applyAlignment="1">
      <alignment horizontal="justify" vertical="center" wrapText="1"/>
    </xf>
    <xf numFmtId="0" fontId="12" fillId="2" borderId="35" xfId="0" applyFont="1" applyFill="1" applyBorder="1" applyAlignment="1">
      <alignment horizontal="justify" vertical="center" wrapText="1"/>
    </xf>
    <xf numFmtId="0" fontId="12" fillId="2" borderId="34" xfId="0" applyFont="1" applyFill="1" applyBorder="1" applyAlignment="1">
      <alignment horizontal="justify" vertical="center" wrapText="1"/>
    </xf>
    <xf numFmtId="0" fontId="12" fillId="2" borderId="0" xfId="0" applyFont="1" applyFill="1" applyAlignment="1">
      <alignment horizontal="justify" vertical="center" wrapText="1"/>
    </xf>
    <xf numFmtId="0" fontId="8" fillId="2" borderId="40" xfId="0" applyFont="1" applyFill="1" applyBorder="1" applyAlignment="1">
      <alignment horizontal="center" vertical="center" wrapText="1"/>
    </xf>
    <xf numFmtId="0" fontId="8" fillId="2" borderId="41" xfId="0" applyFont="1" applyFill="1" applyBorder="1" applyAlignment="1">
      <alignment horizontal="center" vertical="center" wrapText="1"/>
    </xf>
    <xf numFmtId="0" fontId="8" fillId="2" borderId="42" xfId="0" applyFont="1" applyFill="1" applyBorder="1" applyAlignment="1">
      <alignment horizontal="center" vertical="center" wrapText="1"/>
    </xf>
    <xf numFmtId="0" fontId="8" fillId="2" borderId="43" xfId="0" applyFont="1" applyFill="1" applyBorder="1" applyAlignment="1">
      <alignment horizontal="center" vertical="center" wrapText="1"/>
    </xf>
    <xf numFmtId="20" fontId="4" fillId="2" borderId="44" xfId="0" applyNumberFormat="1" applyFont="1" applyFill="1" applyBorder="1" applyAlignment="1">
      <alignment horizontal="center" vertical="center" wrapText="1"/>
    </xf>
    <xf numFmtId="20" fontId="4" fillId="2" borderId="45" xfId="0" applyNumberFormat="1" applyFont="1" applyFill="1" applyBorder="1" applyAlignment="1">
      <alignment horizontal="center" vertical="center" wrapText="1"/>
    </xf>
    <xf numFmtId="20" fontId="4" fillId="2" borderId="46" xfId="0" applyNumberFormat="1" applyFont="1" applyFill="1" applyBorder="1" applyAlignment="1">
      <alignment horizontal="center" vertical="center" wrapText="1"/>
    </xf>
    <xf numFmtId="20" fontId="4" fillId="2" borderId="47" xfId="0" applyNumberFormat="1" applyFont="1" applyFill="1" applyBorder="1" applyAlignment="1">
      <alignment horizontal="center" vertical="center" wrapText="1"/>
    </xf>
    <xf numFmtId="20" fontId="8" fillId="2" borderId="0" xfId="0" applyNumberFormat="1" applyFont="1" applyFill="1" applyAlignment="1">
      <alignment vertical="center" wrapText="1"/>
    </xf>
    <xf numFmtId="0" fontId="8" fillId="2" borderId="33" xfId="0" applyFont="1" applyFill="1" applyBorder="1" applyAlignment="1">
      <alignment horizontal="center" vertical="center" wrapText="1"/>
    </xf>
    <xf numFmtId="0" fontId="8" fillId="2" borderId="35" xfId="0" applyFont="1" applyFill="1" applyBorder="1" applyAlignment="1">
      <alignment horizontal="center" vertical="center" wrapText="1"/>
    </xf>
    <xf numFmtId="0" fontId="8" fillId="2" borderId="34" xfId="0" applyFont="1" applyFill="1" applyBorder="1" applyAlignment="1">
      <alignment horizontal="center" vertical="center" wrapText="1"/>
    </xf>
    <xf numFmtId="20" fontId="4" fillId="2" borderId="48" xfId="0" applyNumberFormat="1" applyFont="1" applyFill="1" applyBorder="1" applyAlignment="1">
      <alignment horizontal="center" vertical="center" wrapText="1"/>
    </xf>
    <xf numFmtId="20" fontId="4" fillId="2" borderId="49" xfId="0" applyNumberFormat="1" applyFont="1" applyFill="1" applyBorder="1" applyAlignment="1">
      <alignment horizontal="center" vertical="center" wrapText="1"/>
    </xf>
    <xf numFmtId="20" fontId="4" fillId="2" borderId="50" xfId="0" applyNumberFormat="1" applyFont="1" applyFill="1" applyBorder="1" applyAlignment="1">
      <alignment horizontal="center" vertical="center" wrapText="1"/>
    </xf>
    <xf numFmtId="20" fontId="15" fillId="2" borderId="0" xfId="0" applyNumberFormat="1" applyFont="1" applyFill="1" applyAlignment="1">
      <alignment vertical="center" wrapText="1"/>
    </xf>
    <xf numFmtId="0" fontId="8" fillId="2" borderId="51" xfId="0" applyFont="1" applyFill="1" applyBorder="1" applyAlignment="1">
      <alignment horizontal="justify" vertical="center" wrapText="1"/>
    </xf>
    <xf numFmtId="0" fontId="8" fillId="2" borderId="52" xfId="0" applyFont="1" applyFill="1" applyBorder="1" applyAlignment="1">
      <alignment horizontal="justify" vertical="center" wrapText="1"/>
    </xf>
    <xf numFmtId="0" fontId="8" fillId="2" borderId="53" xfId="0" applyFont="1" applyFill="1" applyBorder="1" applyAlignment="1">
      <alignment horizontal="justify" vertical="center" wrapText="1"/>
    </xf>
    <xf numFmtId="20" fontId="4" fillId="2" borderId="30" xfId="0" applyNumberFormat="1" applyFont="1" applyFill="1" applyBorder="1" applyAlignment="1" applyProtection="1">
      <alignment horizontal="center" vertical="center" wrapText="1"/>
      <protection hidden="1"/>
    </xf>
    <xf numFmtId="0" fontId="4" fillId="2" borderId="32" xfId="0" applyFont="1" applyFill="1" applyBorder="1" applyAlignment="1" applyProtection="1">
      <alignment horizontal="center" vertical="center" wrapText="1"/>
      <protection hidden="1"/>
    </xf>
    <xf numFmtId="20" fontId="19" fillId="2" borderId="30" xfId="0" applyNumberFormat="1" applyFont="1" applyFill="1" applyBorder="1" applyAlignment="1" applyProtection="1">
      <alignment horizontal="center" vertical="center" wrapText="1"/>
      <protection hidden="1"/>
    </xf>
    <xf numFmtId="0" fontId="19" fillId="2" borderId="32" xfId="0" applyFont="1" applyFill="1" applyBorder="1" applyAlignment="1" applyProtection="1">
      <alignment horizontal="center" vertical="center" wrapText="1"/>
      <protection hidden="1"/>
    </xf>
    <xf numFmtId="0" fontId="19" fillId="2" borderId="0" xfId="0" applyFont="1" applyFill="1" applyAlignment="1" applyProtection="1">
      <alignment horizontal="center" vertical="center" wrapText="1"/>
      <protection hidden="1"/>
    </xf>
    <xf numFmtId="0" fontId="20" fillId="2" borderId="0" xfId="0" applyFont="1" applyFill="1" applyAlignment="1" applyProtection="1">
      <alignment horizontal="center" vertical="center" wrapText="1"/>
      <protection hidden="1"/>
    </xf>
    <xf numFmtId="4" fontId="20" fillId="2" borderId="0" xfId="0" applyNumberFormat="1" applyFont="1" applyFill="1" applyAlignment="1" applyProtection="1">
      <alignment horizontal="center" vertical="center" wrapText="1"/>
      <protection hidden="1"/>
    </xf>
    <xf numFmtId="0" fontId="20" fillId="2" borderId="30" xfId="0" applyFont="1" applyFill="1" applyBorder="1" applyAlignment="1">
      <alignment horizontal="justify" vertical="center" wrapText="1"/>
    </xf>
    <xf numFmtId="0" fontId="20" fillId="2" borderId="31" xfId="0" applyFont="1" applyFill="1" applyBorder="1" applyAlignment="1">
      <alignment horizontal="justify" vertical="center" wrapText="1"/>
    </xf>
    <xf numFmtId="0" fontId="20" fillId="2" borderId="32" xfId="0" applyFont="1" applyFill="1" applyBorder="1" applyAlignment="1">
      <alignment horizontal="justify" vertical="center" wrapText="1"/>
    </xf>
    <xf numFmtId="0" fontId="20" fillId="2" borderId="0" xfId="0" applyFont="1" applyFill="1" applyAlignment="1">
      <alignment horizontal="justify" vertical="center" wrapText="1"/>
    </xf>
    <xf numFmtId="0" fontId="8" fillId="2" borderId="51" xfId="0" applyFont="1" applyFill="1" applyBorder="1" applyAlignment="1">
      <alignment horizontal="center" vertical="center" wrapText="1"/>
    </xf>
    <xf numFmtId="0" fontId="8" fillId="2" borderId="53" xfId="0" applyFont="1" applyFill="1" applyBorder="1" applyAlignment="1">
      <alignment horizontal="center" vertical="center" wrapText="1"/>
    </xf>
    <xf numFmtId="0" fontId="3" fillId="10" borderId="2" xfId="0" applyFont="1" applyFill="1" applyBorder="1" applyAlignment="1" applyProtection="1">
      <alignment horizontal="center" vertical="center" wrapText="1"/>
      <protection hidden="1"/>
    </xf>
    <xf numFmtId="0" fontId="3" fillId="10" borderId="3" xfId="0" applyFont="1" applyFill="1" applyBorder="1" applyAlignment="1" applyProtection="1">
      <alignment horizontal="center" vertical="center" wrapText="1"/>
      <protection hidden="1"/>
    </xf>
    <xf numFmtId="0" fontId="12" fillId="10" borderId="1" xfId="0" applyFont="1" applyFill="1" applyBorder="1" applyAlignment="1" applyProtection="1">
      <alignment vertical="center" wrapText="1"/>
      <protection hidden="1"/>
    </xf>
    <xf numFmtId="4" fontId="12" fillId="10" borderId="1" xfId="0" applyNumberFormat="1" applyFont="1" applyFill="1" applyBorder="1" applyAlignment="1" applyProtection="1">
      <alignment horizontal="center" vertical="center" wrapText="1"/>
      <protection hidden="1"/>
    </xf>
    <xf numFmtId="0" fontId="12" fillId="10" borderId="1" xfId="0" applyFont="1" applyFill="1" applyBorder="1" applyAlignment="1" applyProtection="1">
      <alignment horizontal="center" vertical="center" wrapText="1"/>
      <protection hidden="1"/>
    </xf>
    <xf numFmtId="4" fontId="4" fillId="2" borderId="0" xfId="0" applyNumberFormat="1" applyFont="1" applyFill="1" applyAlignment="1" applyProtection="1">
      <alignment horizontal="center" vertical="center" wrapText="1"/>
      <protection locked="0"/>
    </xf>
    <xf numFmtId="0" fontId="4" fillId="5" borderId="1" xfId="0" applyFont="1" applyFill="1" applyBorder="1" applyAlignment="1" applyProtection="1">
      <alignment horizontal="center" vertical="center" textRotation="45" wrapText="1"/>
      <protection hidden="1"/>
    </xf>
    <xf numFmtId="0" fontId="4" fillId="5" borderId="1" xfId="0" applyFont="1" applyFill="1" applyBorder="1" applyAlignment="1" applyProtection="1">
      <alignment horizontal="left" vertical="center" wrapText="1"/>
      <protection locked="0"/>
    </xf>
    <xf numFmtId="183" fontId="4" fillId="5" borderId="1" xfId="0" applyNumberFormat="1" applyFont="1" applyFill="1" applyBorder="1" applyAlignment="1" applyProtection="1">
      <alignment horizontal="center" vertical="center" wrapText="1"/>
      <protection locked="0"/>
    </xf>
    <xf numFmtId="4" fontId="4" fillId="5" borderId="1" xfId="0" applyNumberFormat="1" applyFont="1" applyFill="1" applyBorder="1" applyAlignment="1" applyProtection="1">
      <alignment horizontal="center" vertical="center" wrapText="1"/>
      <protection locked="0"/>
    </xf>
    <xf numFmtId="183" fontId="4" fillId="5" borderId="1" xfId="0" applyNumberFormat="1" applyFont="1" applyFill="1" applyBorder="1" applyAlignment="1" applyProtection="1">
      <alignment horizontal="center" vertical="center" wrapText="1"/>
      <protection hidden="1"/>
    </xf>
    <xf numFmtId="0" fontId="4" fillId="2" borderId="0" xfId="0" applyFont="1" applyFill="1" applyAlignment="1" applyProtection="1">
      <alignment horizontal="center" vertical="center" textRotation="45" wrapText="1"/>
      <protection hidden="1"/>
    </xf>
    <xf numFmtId="0" fontId="4" fillId="2" borderId="54" xfId="0" applyFont="1" applyFill="1" applyBorder="1" applyAlignment="1" applyProtection="1">
      <alignment vertical="center" wrapText="1"/>
      <protection hidden="1"/>
    </xf>
    <xf numFmtId="4" fontId="4" fillId="2" borderId="54" xfId="0" applyNumberFormat="1" applyFont="1" applyFill="1" applyBorder="1" applyAlignment="1" applyProtection="1">
      <alignment horizontal="center" vertical="center" wrapText="1"/>
      <protection hidden="1"/>
    </xf>
    <xf numFmtId="4" fontId="4" fillId="2" borderId="54" xfId="0" applyNumberFormat="1" applyFont="1" applyFill="1" applyBorder="1" applyAlignment="1" applyProtection="1">
      <alignment vertical="center" wrapText="1"/>
      <protection hidden="1"/>
    </xf>
    <xf numFmtId="0" fontId="20" fillId="10" borderId="55" xfId="0" applyFont="1" applyFill="1" applyBorder="1" applyAlignment="1" applyProtection="1">
      <alignment horizontal="center" vertical="center" wrapText="1"/>
      <protection hidden="1"/>
    </xf>
    <xf numFmtId="0" fontId="20" fillId="10" borderId="56" xfId="0" applyFont="1" applyFill="1" applyBorder="1" applyAlignment="1" applyProtection="1">
      <alignment horizontal="center" vertical="center" wrapText="1"/>
      <protection hidden="1"/>
    </xf>
    <xf numFmtId="0" fontId="20" fillId="2" borderId="57" xfId="0" applyFont="1" applyFill="1" applyBorder="1" applyAlignment="1" applyProtection="1">
      <alignment horizontal="center" vertical="center" wrapText="1"/>
      <protection hidden="1"/>
    </xf>
    <xf numFmtId="0" fontId="4" fillId="11" borderId="36" xfId="0" applyFont="1" applyFill="1" applyBorder="1" applyAlignment="1" applyProtection="1">
      <alignment horizontal="center" vertical="center" wrapText="1"/>
      <protection hidden="1"/>
    </xf>
    <xf numFmtId="0" fontId="12" fillId="10" borderId="58" xfId="0" applyFont="1" applyFill="1" applyBorder="1" applyAlignment="1" applyProtection="1">
      <alignment horizontal="center" vertical="center" wrapText="1"/>
      <protection hidden="1"/>
    </xf>
    <xf numFmtId="0" fontId="12" fillId="10" borderId="59" xfId="0" applyFont="1" applyFill="1" applyBorder="1" applyAlignment="1" applyProtection="1">
      <alignment horizontal="center" vertical="center" wrapText="1"/>
      <protection hidden="1"/>
    </xf>
    <xf numFmtId="0" fontId="12" fillId="2" borderId="57" xfId="0" applyFont="1" applyFill="1" applyBorder="1" applyAlignment="1" applyProtection="1">
      <alignment horizontal="center" vertical="center" wrapText="1"/>
      <protection hidden="1"/>
    </xf>
    <xf numFmtId="4" fontId="21" fillId="6" borderId="60" xfId="0" applyNumberFormat="1" applyFont="1" applyFill="1" applyBorder="1" applyAlignment="1" applyProtection="1">
      <alignment horizontal="left" vertical="center" wrapText="1"/>
      <protection hidden="1"/>
    </xf>
    <xf numFmtId="4" fontId="9" fillId="6" borderId="60" xfId="0" applyNumberFormat="1" applyFont="1" applyFill="1" applyBorder="1" applyAlignment="1" applyProtection="1">
      <alignment horizontal="center" vertical="center" wrapText="1"/>
      <protection hidden="1"/>
    </xf>
    <xf numFmtId="183" fontId="9" fillId="6" borderId="60" xfId="0" applyNumberFormat="1" applyFont="1" applyFill="1" applyBorder="1" applyAlignment="1" applyProtection="1">
      <alignment horizontal="center" vertical="center" wrapText="1"/>
      <protection hidden="1"/>
    </xf>
    <xf numFmtId="181" fontId="9" fillId="6" borderId="61" xfId="0" applyNumberFormat="1" applyFont="1" applyFill="1" applyBorder="1" applyAlignment="1" applyProtection="1">
      <alignment horizontal="center" vertical="center" wrapText="1"/>
      <protection hidden="1"/>
    </xf>
    <xf numFmtId="181" fontId="9" fillId="2" borderId="57" xfId="0" applyNumberFormat="1" applyFont="1" applyFill="1" applyBorder="1" applyAlignment="1" applyProtection="1">
      <alignment horizontal="center" vertical="center" wrapText="1"/>
      <protection hidden="1"/>
    </xf>
    <xf numFmtId="183" fontId="4" fillId="2" borderId="0" xfId="0" applyNumberFormat="1" applyFont="1" applyFill="1" applyAlignment="1" applyProtection="1">
      <alignment horizontal="center" vertical="center" wrapText="1"/>
      <protection hidden="1"/>
    </xf>
    <xf numFmtId="0" fontId="22" fillId="0" borderId="0" xfId="0" applyFont="1">
      <alignment vertical="center"/>
    </xf>
    <xf numFmtId="0" fontId="4" fillId="0" borderId="0" xfId="0" applyFont="1" applyFill="1" applyAlignment="1" applyProtection="1">
      <alignment horizontal="center" vertical="center" wrapText="1"/>
      <protection hidden="1"/>
    </xf>
    <xf numFmtId="20" fontId="4" fillId="2" borderId="62" xfId="0" applyNumberFormat="1" applyFont="1" applyFill="1" applyBorder="1" applyAlignment="1">
      <alignment horizontal="center" vertical="center" wrapText="1"/>
    </xf>
    <xf numFmtId="20" fontId="4" fillId="2" borderId="63" xfId="0" applyNumberFormat="1" applyFont="1" applyFill="1" applyBorder="1" applyAlignment="1">
      <alignment horizontal="center" vertical="center" wrapText="1"/>
    </xf>
    <xf numFmtId="20" fontId="4" fillId="2" borderId="64" xfId="0" applyNumberFormat="1" applyFont="1" applyFill="1" applyBorder="1" applyAlignment="1">
      <alignment horizontal="center" vertical="center" wrapText="1"/>
    </xf>
    <xf numFmtId="20" fontId="4" fillId="2" borderId="65" xfId="0" applyNumberFormat="1" applyFont="1" applyFill="1" applyBorder="1" applyAlignment="1">
      <alignment horizontal="center" vertical="center" wrapText="1"/>
    </xf>
    <xf numFmtId="20" fontId="4" fillId="2" borderId="40" xfId="0" applyNumberFormat="1" applyFont="1" applyFill="1" applyBorder="1" applyAlignment="1">
      <alignment horizontal="center" vertical="center" wrapText="1"/>
    </xf>
    <xf numFmtId="20" fontId="4" fillId="2" borderId="43" xfId="0" applyNumberFormat="1" applyFont="1" applyFill="1" applyBorder="1" applyAlignment="1">
      <alignment horizontal="center" vertical="center" wrapText="1"/>
    </xf>
    <xf numFmtId="0" fontId="15" fillId="2" borderId="30" xfId="0" applyFont="1" applyFill="1" applyBorder="1" applyAlignment="1">
      <alignment horizontal="justify" vertical="center" wrapText="1"/>
    </xf>
    <xf numFmtId="0" fontId="15" fillId="2" borderId="31" xfId="0" applyFont="1" applyFill="1" applyBorder="1" applyAlignment="1">
      <alignment horizontal="justify" vertical="center" wrapText="1"/>
    </xf>
    <xf numFmtId="0" fontId="15" fillId="2" borderId="32" xfId="0" applyFont="1" applyFill="1" applyBorder="1" applyAlignment="1">
      <alignment horizontal="justify" vertical="center" wrapText="1"/>
    </xf>
    <xf numFmtId="20" fontId="4" fillId="0" borderId="66" xfId="0" applyNumberFormat="1" applyFont="1" applyBorder="1" applyAlignment="1">
      <alignment horizontal="center" vertical="center"/>
    </xf>
    <xf numFmtId="20" fontId="22" fillId="0" borderId="0" xfId="0" applyNumberFormat="1" applyFont="1">
      <alignment vertical="center"/>
    </xf>
    <xf numFmtId="20" fontId="4" fillId="0" borderId="38" xfId="0" applyNumberFormat="1" applyFont="1" applyBorder="1" applyAlignment="1">
      <alignment horizontal="center" vertical="center"/>
    </xf>
    <xf numFmtId="0" fontId="4" fillId="2" borderId="65" xfId="0" applyFont="1" applyFill="1" applyBorder="1" applyAlignment="1" applyProtection="1">
      <alignment vertical="center" wrapText="1"/>
      <protection hidden="1"/>
    </xf>
    <xf numFmtId="0" fontId="4" fillId="0" borderId="1" xfId="0" applyFont="1" applyFill="1" applyBorder="1" applyAlignment="1" applyProtection="1">
      <alignment horizontal="left" vertical="center" wrapText="1"/>
      <protection locked="0"/>
    </xf>
    <xf numFmtId="0" fontId="4" fillId="0" borderId="1" xfId="0" applyFont="1" applyFill="1" applyBorder="1" applyAlignment="1" applyProtection="1">
      <alignment horizontal="center" vertical="center" textRotation="45" wrapText="1"/>
      <protection hidden="1"/>
    </xf>
    <xf numFmtId="4" fontId="4" fillId="0" borderId="1" xfId="0" applyNumberFormat="1" applyFont="1" applyFill="1" applyBorder="1" applyAlignment="1" applyProtection="1">
      <alignment horizontal="center" vertical="center" wrapText="1"/>
      <protection locked="0"/>
    </xf>
    <xf numFmtId="0" fontId="4" fillId="0" borderId="65" xfId="0" applyFont="1" applyFill="1" applyBorder="1" applyAlignment="1" applyProtection="1">
      <alignment vertical="center" wrapText="1"/>
      <protection hidden="1"/>
    </xf>
    <xf numFmtId="4" fontId="4" fillId="0" borderId="0" xfId="0" applyNumberFormat="1" applyFont="1" applyFill="1" applyAlignment="1" applyProtection="1">
      <alignment horizontal="center" vertical="center" wrapText="1"/>
      <protection locked="0"/>
    </xf>
    <xf numFmtId="0" fontId="4" fillId="12" borderId="1" xfId="0" applyFont="1" applyFill="1" applyBorder="1" applyAlignment="1" applyProtection="1">
      <alignment horizontal="left" vertical="center" wrapText="1"/>
      <protection locked="0"/>
    </xf>
    <xf numFmtId="183" fontId="4" fillId="12" borderId="1" xfId="0" applyNumberFormat="1" applyFont="1" applyFill="1" applyBorder="1" applyAlignment="1" applyProtection="1">
      <alignment horizontal="center" vertical="center" wrapText="1"/>
      <protection locked="0"/>
    </xf>
    <xf numFmtId="4" fontId="4" fillId="12" borderId="1" xfId="0" applyNumberFormat="1" applyFont="1" applyFill="1" applyBorder="1" applyAlignment="1" applyProtection="1">
      <alignment horizontal="center" vertical="center" wrapText="1"/>
      <protection locked="0"/>
    </xf>
    <xf numFmtId="183" fontId="4" fillId="12" borderId="2" xfId="0" applyNumberFormat="1" applyFont="1" applyFill="1" applyBorder="1" applyAlignment="1" applyProtection="1">
      <alignment horizontal="center" vertical="center" wrapText="1"/>
      <protection hidden="1"/>
    </xf>
    <xf numFmtId="183" fontId="4" fillId="5" borderId="2" xfId="0" applyNumberFormat="1" applyFont="1" applyFill="1" applyBorder="1" applyAlignment="1" applyProtection="1">
      <alignment horizontal="center" vertical="center" wrapText="1"/>
      <protection hidden="1"/>
    </xf>
    <xf numFmtId="0" fontId="20" fillId="10" borderId="67" xfId="0" applyFont="1" applyFill="1" applyBorder="1" applyAlignment="1" applyProtection="1">
      <alignment horizontal="center" vertical="center" wrapText="1"/>
      <protection hidden="1"/>
    </xf>
    <xf numFmtId="0" fontId="20" fillId="10" borderId="68" xfId="0" applyFont="1" applyFill="1" applyBorder="1" applyAlignment="1" applyProtection="1">
      <alignment horizontal="center" vertical="center" wrapText="1"/>
      <protection hidden="1"/>
    </xf>
    <xf numFmtId="0" fontId="20" fillId="10" borderId="69" xfId="0" applyFont="1" applyFill="1" applyBorder="1" applyAlignment="1" applyProtection="1">
      <alignment horizontal="center" vertical="center" wrapText="1"/>
      <protection hidden="1"/>
    </xf>
    <xf numFmtId="0" fontId="20" fillId="2" borderId="0" xfId="0" applyFont="1" applyFill="1" applyAlignment="1" applyProtection="1">
      <alignment vertical="center" wrapText="1"/>
      <protection hidden="1"/>
    </xf>
    <xf numFmtId="0" fontId="12" fillId="10" borderId="70" xfId="0" applyFont="1" applyFill="1" applyBorder="1" applyAlignment="1" applyProtection="1">
      <alignment horizontal="center" vertical="center" wrapText="1"/>
      <protection hidden="1"/>
    </xf>
    <xf numFmtId="0" fontId="12" fillId="10" borderId="71" xfId="0" applyFont="1" applyFill="1" applyBorder="1" applyAlignment="1" applyProtection="1">
      <alignment horizontal="center" vertical="center" wrapText="1"/>
      <protection hidden="1"/>
    </xf>
    <xf numFmtId="0" fontId="12" fillId="2" borderId="0" xfId="0" applyFont="1" applyFill="1" applyAlignment="1" applyProtection="1">
      <alignment horizontal="center" vertical="center" wrapText="1"/>
      <protection hidden="1"/>
    </xf>
    <xf numFmtId="4" fontId="21" fillId="6" borderId="72" xfId="0" applyNumberFormat="1" applyFont="1" applyFill="1" applyBorder="1" applyAlignment="1" applyProtection="1">
      <alignment horizontal="left" vertical="center" wrapText="1"/>
      <protection hidden="1"/>
    </xf>
    <xf numFmtId="4" fontId="21" fillId="6" borderId="73" xfId="0" applyNumberFormat="1" applyFont="1" applyFill="1" applyBorder="1" applyAlignment="1" applyProtection="1">
      <alignment horizontal="left" vertical="center" wrapText="1"/>
      <protection hidden="1"/>
    </xf>
    <xf numFmtId="4" fontId="9" fillId="6" borderId="73" xfId="0" applyNumberFormat="1" applyFont="1" applyFill="1" applyBorder="1" applyAlignment="1" applyProtection="1">
      <alignment horizontal="center" vertical="center" wrapText="1"/>
      <protection hidden="1"/>
    </xf>
    <xf numFmtId="183" fontId="9" fillId="6" borderId="73" xfId="0" applyNumberFormat="1" applyFont="1" applyFill="1" applyBorder="1" applyAlignment="1" applyProtection="1">
      <alignment horizontal="center" vertical="center" wrapText="1"/>
      <protection hidden="1"/>
    </xf>
    <xf numFmtId="181" fontId="9" fillId="6" borderId="74" xfId="0" applyNumberFormat="1" applyFont="1" applyFill="1" applyBorder="1" applyAlignment="1" applyProtection="1">
      <alignment horizontal="center" vertical="center" wrapText="1"/>
      <protection hidden="1"/>
    </xf>
    <xf numFmtId="181" fontId="9" fillId="2" borderId="0" xfId="0" applyNumberFormat="1" applyFont="1" applyFill="1" applyAlignment="1" applyProtection="1">
      <alignment horizontal="center" vertical="center" wrapText="1"/>
      <protection hidden="1"/>
    </xf>
    <xf numFmtId="0" fontId="0" fillId="0" borderId="0" xfId="0" applyAlignment="1"/>
    <xf numFmtId="0" fontId="17" fillId="9" borderId="33" xfId="0" applyFont="1" applyFill="1" applyBorder="1" applyAlignment="1">
      <alignment horizontal="center" vertical="center" wrapText="1"/>
    </xf>
    <xf numFmtId="0" fontId="17" fillId="9" borderId="35" xfId="0" applyFont="1" applyFill="1" applyBorder="1" applyAlignment="1">
      <alignment horizontal="center" vertical="center" wrapText="1"/>
    </xf>
    <xf numFmtId="0" fontId="17" fillId="9" borderId="34" xfId="0" applyFont="1" applyFill="1" applyBorder="1" applyAlignment="1">
      <alignment horizontal="center" vertical="center" wrapText="1"/>
    </xf>
    <xf numFmtId="0" fontId="4" fillId="5" borderId="5" xfId="0" applyFont="1" applyFill="1" applyBorder="1" applyAlignment="1" applyProtection="1">
      <alignment horizontal="center" vertical="center" textRotation="45" wrapText="1"/>
      <protection hidden="1"/>
    </xf>
    <xf numFmtId="0" fontId="4" fillId="2" borderId="0" xfId="0" applyFont="1" applyFill="1" applyAlignment="1" applyProtection="1">
      <alignment horizontal="center" vertical="center" wrapText="1"/>
      <protection locked="0"/>
    </xf>
    <xf numFmtId="0" fontId="4" fillId="5" borderId="75" xfId="0" applyFont="1" applyFill="1" applyBorder="1" applyAlignment="1" applyProtection="1">
      <alignment horizontal="center" vertical="center" textRotation="45" wrapText="1"/>
      <protection hidden="1"/>
    </xf>
    <xf numFmtId="0" fontId="4" fillId="5" borderId="11" xfId="0" applyFont="1" applyFill="1" applyBorder="1" applyAlignment="1" applyProtection="1">
      <alignment horizontal="center" vertical="center" textRotation="45" wrapText="1"/>
      <protection hidden="1"/>
    </xf>
    <xf numFmtId="183" fontId="4" fillId="5" borderId="5" xfId="0" applyNumberFormat="1" applyFont="1" applyFill="1" applyBorder="1" applyAlignment="1" applyProtection="1">
      <alignment horizontal="center" vertical="center" wrapText="1"/>
      <protection locked="0"/>
    </xf>
    <xf numFmtId="4" fontId="4" fillId="5" borderId="5" xfId="0" applyNumberFormat="1" applyFont="1" applyFill="1" applyBorder="1" applyAlignment="1" applyProtection="1">
      <alignment horizontal="center" vertical="center" wrapText="1"/>
      <protection locked="0"/>
    </xf>
    <xf numFmtId="183" fontId="4" fillId="5" borderId="5" xfId="0" applyNumberFormat="1" applyFont="1" applyFill="1" applyBorder="1" applyAlignment="1" applyProtection="1">
      <alignment horizontal="center" vertical="center" wrapText="1"/>
      <protection hidden="1"/>
    </xf>
    <xf numFmtId="0" fontId="9" fillId="6" borderId="25" xfId="0" applyFont="1" applyFill="1" applyBorder="1" applyAlignment="1" applyProtection="1">
      <alignment horizontal="center" vertical="center" wrapText="1"/>
      <protection hidden="1"/>
    </xf>
    <xf numFmtId="183" fontId="9" fillId="6" borderId="27" xfId="0" applyNumberFormat="1" applyFont="1" applyFill="1" applyBorder="1" applyAlignment="1" applyProtection="1">
      <alignment horizontal="center" vertical="center" wrapText="1"/>
      <protection hidden="1"/>
    </xf>
    <xf numFmtId="0" fontId="9" fillId="6" borderId="76" xfId="0" applyFont="1" applyFill="1" applyBorder="1" applyAlignment="1" applyProtection="1">
      <alignment horizontal="center" vertical="center" wrapText="1"/>
      <protection hidden="1"/>
    </xf>
    <xf numFmtId="4" fontId="9" fillId="6" borderId="77" xfId="0" applyNumberFormat="1" applyFont="1" applyFill="1" applyBorder="1" applyAlignment="1" applyProtection="1">
      <alignment horizontal="center" vertical="center" wrapText="1"/>
      <protection hidden="1"/>
    </xf>
    <xf numFmtId="183" fontId="9" fillId="6" borderId="78" xfId="0" applyNumberFormat="1" applyFont="1" applyFill="1" applyBorder="1" applyAlignment="1" applyProtection="1">
      <alignment horizontal="center" vertical="center" wrapText="1"/>
      <protection hidden="1"/>
    </xf>
    <xf numFmtId="0" fontId="8" fillId="2" borderId="0" xfId="0" applyFont="1" applyFill="1" applyAlignment="1" applyProtection="1">
      <alignment horizontal="center" vertical="center" wrapText="1"/>
      <protection hidden="1"/>
    </xf>
    <xf numFmtId="4" fontId="8" fillId="2" borderId="0" xfId="0" applyNumberFormat="1" applyFont="1" applyFill="1" applyAlignment="1" applyProtection="1">
      <alignment horizontal="center" vertical="center" wrapText="1"/>
      <protection hidden="1"/>
    </xf>
    <xf numFmtId="0" fontId="4" fillId="5" borderId="5" xfId="0" applyFont="1" applyFill="1" applyBorder="1" applyAlignment="1" applyProtection="1">
      <alignment horizontal="center" vertical="center" wrapText="1"/>
      <protection locked="0"/>
    </xf>
    <xf numFmtId="0" fontId="4" fillId="5" borderId="75" xfId="0" applyFont="1" applyFill="1" applyBorder="1" applyAlignment="1" applyProtection="1">
      <alignment horizontal="center" vertical="center" wrapText="1"/>
      <protection locked="0"/>
    </xf>
    <xf numFmtId="0" fontId="4" fillId="5" borderId="11" xfId="0" applyFont="1" applyFill="1" applyBorder="1" applyAlignment="1" applyProtection="1">
      <alignment horizontal="center" vertical="center" wrapText="1"/>
      <protection locked="0"/>
    </xf>
    <xf numFmtId="0" fontId="4" fillId="2" borderId="5"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left" vertical="center" wrapText="1"/>
      <protection locked="0"/>
    </xf>
    <xf numFmtId="183" fontId="4" fillId="2" borderId="1" xfId="0" applyNumberFormat="1" applyFont="1" applyFill="1" applyBorder="1" applyAlignment="1" applyProtection="1">
      <alignment horizontal="center" vertical="center" wrapText="1"/>
      <protection locked="0"/>
    </xf>
    <xf numFmtId="4" fontId="4" fillId="2" borderId="1" xfId="0" applyNumberFormat="1" applyFont="1" applyFill="1" applyBorder="1" applyAlignment="1" applyProtection="1">
      <alignment horizontal="center" vertical="center" wrapText="1"/>
      <protection locked="0"/>
    </xf>
    <xf numFmtId="183" fontId="4" fillId="2" borderId="1" xfId="0" applyNumberFormat="1" applyFont="1" applyFill="1" applyBorder="1" applyAlignment="1" applyProtection="1">
      <alignment horizontal="center" vertical="center" wrapText="1"/>
      <protection hidden="1"/>
    </xf>
    <xf numFmtId="0" fontId="4" fillId="2" borderId="75" xfId="0" applyFont="1" applyFill="1" applyBorder="1" applyAlignment="1" applyProtection="1">
      <alignment horizontal="center" vertical="center" wrapText="1"/>
      <protection locked="0"/>
    </xf>
    <xf numFmtId="0" fontId="4" fillId="2" borderId="11" xfId="0" applyFont="1" applyFill="1" applyBorder="1" applyAlignment="1" applyProtection="1">
      <alignment horizontal="center" vertical="center" wrapText="1"/>
      <protection locked="0"/>
    </xf>
    <xf numFmtId="4" fontId="4" fillId="2" borderId="5" xfId="0" applyNumberFormat="1" applyFont="1" applyFill="1" applyBorder="1" applyAlignment="1" applyProtection="1">
      <alignment horizontal="center" vertical="center" wrapText="1"/>
      <protection locked="0"/>
    </xf>
    <xf numFmtId="183" fontId="4" fillId="2" borderId="5" xfId="0" applyNumberFormat="1" applyFont="1" applyFill="1" applyBorder="1" applyAlignment="1" applyProtection="1">
      <alignment horizontal="center" vertical="center" wrapText="1"/>
      <protection hidden="1"/>
    </xf>
    <xf numFmtId="0" fontId="17" fillId="9" borderId="51" xfId="0" applyFont="1" applyFill="1" applyBorder="1" applyAlignment="1">
      <alignment horizontal="center" vertical="center" wrapText="1"/>
    </xf>
    <xf numFmtId="0" fontId="17" fillId="9" borderId="52" xfId="0" applyFont="1" applyFill="1" applyBorder="1" applyAlignment="1">
      <alignment horizontal="center" vertical="center" wrapText="1"/>
    </xf>
    <xf numFmtId="0" fontId="17" fillId="9" borderId="53" xfId="0" applyFont="1" applyFill="1" applyBorder="1" applyAlignment="1">
      <alignment horizontal="center" vertical="center" wrapText="1"/>
    </xf>
    <xf numFmtId="20" fontId="4" fillId="13" borderId="49" xfId="0" applyNumberFormat="1" applyFont="1" applyFill="1" applyBorder="1" applyAlignment="1">
      <alignment horizontal="center" vertical="center" wrapText="1"/>
    </xf>
    <xf numFmtId="20" fontId="4" fillId="13" borderId="50" xfId="0" applyNumberFormat="1" applyFont="1" applyFill="1" applyBorder="1" applyAlignment="1">
      <alignment horizontal="center" vertical="center" wrapText="1"/>
    </xf>
    <xf numFmtId="0" fontId="4" fillId="2" borderId="0" xfId="0" applyFont="1" applyFill="1" applyAlignment="1" applyProtection="1">
      <alignment horizontal="left" vertical="center" wrapText="1"/>
      <protection hidden="1"/>
    </xf>
    <xf numFmtId="0" fontId="23" fillId="2" borderId="0" xfId="0" applyFont="1" applyFill="1" applyAlignment="1" applyProtection="1">
      <alignment horizontal="left" vertical="center" wrapText="1"/>
      <protection hidden="1"/>
    </xf>
    <xf numFmtId="0" fontId="24" fillId="2" borderId="30" xfId="0" applyFont="1" applyFill="1" applyBorder="1" applyAlignment="1">
      <alignment horizontal="center" vertical="center" wrapText="1"/>
    </xf>
    <xf numFmtId="0" fontId="24" fillId="2" borderId="31" xfId="0" applyFont="1" applyFill="1" applyBorder="1" applyAlignment="1">
      <alignment horizontal="center" vertical="center" wrapText="1"/>
    </xf>
    <xf numFmtId="0" fontId="24" fillId="2" borderId="32" xfId="0" applyFont="1" applyFill="1" applyBorder="1" applyAlignment="1">
      <alignment horizontal="center" vertical="center" wrapText="1"/>
    </xf>
    <xf numFmtId="0" fontId="8" fillId="2" borderId="79" xfId="0" applyFont="1" applyFill="1" applyBorder="1" applyAlignment="1">
      <alignment horizontal="center" vertical="center" wrapText="1"/>
    </xf>
    <xf numFmtId="0" fontId="8" fillId="2" borderId="80" xfId="0" applyFont="1" applyFill="1" applyBorder="1" applyAlignment="1">
      <alignment horizontal="center" vertical="center" wrapText="1"/>
    </xf>
    <xf numFmtId="20" fontId="4" fillId="11" borderId="34" xfId="0" applyNumberFormat="1" applyFont="1" applyFill="1" applyBorder="1" applyAlignment="1">
      <alignment horizontal="center" vertical="center" wrapText="1"/>
    </xf>
    <xf numFmtId="20" fontId="4" fillId="2" borderId="81" xfId="0" applyNumberFormat="1" applyFont="1" applyFill="1" applyBorder="1" applyAlignment="1">
      <alignment horizontal="center" vertical="center" wrapText="1"/>
    </xf>
    <xf numFmtId="20" fontId="4" fillId="2" borderId="82" xfId="0" applyNumberFormat="1" applyFont="1" applyFill="1" applyBorder="1" applyAlignment="1">
      <alignment horizontal="center" vertical="center" wrapText="1"/>
    </xf>
    <xf numFmtId="20" fontId="4" fillId="14" borderId="82" xfId="0" applyNumberFormat="1" applyFont="1" applyFill="1" applyBorder="1" applyAlignment="1">
      <alignment horizontal="center" vertical="center" wrapText="1"/>
    </xf>
    <xf numFmtId="20" fontId="4" fillId="14" borderId="83" xfId="0" applyNumberFormat="1" applyFont="1" applyFill="1" applyBorder="1" applyAlignment="1">
      <alignment horizontal="center" vertical="center" wrapText="1"/>
    </xf>
    <xf numFmtId="20" fontId="4" fillId="15" borderId="49" xfId="0" applyNumberFormat="1" applyFont="1" applyFill="1" applyBorder="1" applyAlignment="1">
      <alignment horizontal="center" vertical="center" wrapText="1"/>
    </xf>
    <xf numFmtId="20" fontId="4" fillId="15" borderId="50" xfId="0" applyNumberFormat="1" applyFont="1" applyFill="1" applyBorder="1" applyAlignment="1">
      <alignment horizontal="center" vertical="center" wrapText="1"/>
    </xf>
    <xf numFmtId="20" fontId="8" fillId="2" borderId="0" xfId="0" applyNumberFormat="1" applyFont="1" applyFill="1" applyAlignment="1">
      <alignment horizontal="center" vertical="center" wrapText="1"/>
    </xf>
    <xf numFmtId="20" fontId="4" fillId="11" borderId="64" xfId="0" applyNumberFormat="1" applyFont="1" applyFill="1" applyBorder="1" applyAlignment="1">
      <alignment horizontal="center" vertical="center" wrapText="1"/>
    </xf>
    <xf numFmtId="20" fontId="4" fillId="2" borderId="79" xfId="0" applyNumberFormat="1" applyFont="1" applyFill="1" applyBorder="1" applyAlignment="1">
      <alignment horizontal="center" vertical="center" wrapText="1"/>
    </xf>
    <xf numFmtId="20" fontId="4" fillId="2" borderId="80" xfId="0" applyNumberFormat="1" applyFont="1" applyFill="1" applyBorder="1" applyAlignment="1">
      <alignment horizontal="center" vertical="center" wrapText="1"/>
    </xf>
    <xf numFmtId="20" fontId="4" fillId="14" borderId="84" xfId="0" applyNumberFormat="1" applyFont="1" applyFill="1" applyBorder="1" applyAlignment="1">
      <alignment horizontal="center" vertical="center" wrapText="1"/>
    </xf>
    <xf numFmtId="20" fontId="4" fillId="13" borderId="80" xfId="0" applyNumberFormat="1" applyFont="1" applyFill="1" applyBorder="1" applyAlignment="1">
      <alignment horizontal="center" vertical="center" wrapText="1"/>
    </xf>
    <xf numFmtId="20" fontId="4" fillId="13" borderId="84" xfId="0" applyNumberFormat="1" applyFont="1" applyFill="1" applyBorder="1" applyAlignment="1">
      <alignment horizontal="center" vertical="center" wrapText="1"/>
    </xf>
    <xf numFmtId="0" fontId="24" fillId="2" borderId="53" xfId="0" applyFont="1" applyFill="1" applyBorder="1" applyAlignment="1">
      <alignment horizontal="center" vertical="center" wrapText="1"/>
    </xf>
    <xf numFmtId="0" fontId="8" fillId="2" borderId="85" xfId="0" applyFont="1" applyFill="1" applyBorder="1" applyAlignment="1">
      <alignment horizontal="center" vertical="center" wrapText="1"/>
    </xf>
    <xf numFmtId="0" fontId="8" fillId="2" borderId="86" xfId="0" applyFont="1" applyFill="1" applyBorder="1" applyAlignment="1">
      <alignment horizontal="center" vertical="center" wrapText="1"/>
    </xf>
    <xf numFmtId="20" fontId="4" fillId="11" borderId="35" xfId="0" applyNumberFormat="1" applyFont="1" applyFill="1" applyBorder="1" applyAlignment="1">
      <alignment horizontal="center" vertical="center" wrapText="1"/>
    </xf>
    <xf numFmtId="20" fontId="4" fillId="16" borderId="49" xfId="0" applyNumberFormat="1" applyFont="1" applyFill="1" applyBorder="1" applyAlignment="1">
      <alignment horizontal="center" vertical="center" wrapText="1"/>
    </xf>
    <xf numFmtId="20" fontId="4" fillId="16" borderId="50" xfId="0" applyNumberFormat="1" applyFont="1" applyFill="1" applyBorder="1" applyAlignment="1">
      <alignment horizontal="center" vertical="center" wrapText="1"/>
    </xf>
    <xf numFmtId="0" fontId="4" fillId="15" borderId="1" xfId="0" applyFont="1" applyFill="1" applyBorder="1" applyAlignment="1" applyProtection="1">
      <alignment horizontal="left" vertical="center" wrapText="1"/>
      <protection locked="0"/>
    </xf>
    <xf numFmtId="183" fontId="4" fillId="14" borderId="1" xfId="0" applyNumberFormat="1" applyFont="1" applyFill="1" applyBorder="1" applyAlignment="1" applyProtection="1">
      <alignment horizontal="center" vertical="center" wrapText="1"/>
      <protection locked="0"/>
    </xf>
    <xf numFmtId="4" fontId="4" fillId="11" borderId="1" xfId="0" applyNumberFormat="1" applyFont="1" applyFill="1" applyBorder="1" applyAlignment="1" applyProtection="1">
      <alignment horizontal="center" vertical="center" wrapText="1"/>
      <protection locked="0"/>
    </xf>
    <xf numFmtId="183" fontId="4" fillId="13" borderId="1" xfId="0" applyNumberFormat="1" applyFont="1" applyFill="1" applyBorder="1" applyAlignment="1" applyProtection="1">
      <alignment horizontal="center" vertical="center" wrapText="1"/>
      <protection hidden="1"/>
    </xf>
    <xf numFmtId="0" fontId="4" fillId="2" borderId="0" xfId="0" applyFont="1" applyFill="1" applyAlignment="1" applyProtection="1">
      <alignment vertical="center" wrapText="1"/>
      <protection hidden="1"/>
    </xf>
    <xf numFmtId="4" fontId="4" fillId="2" borderId="0" xfId="0" applyNumberFormat="1" applyFont="1" applyFill="1" applyAlignment="1" applyProtection="1">
      <alignment vertical="center" wrapText="1"/>
      <protection hidden="1"/>
    </xf>
    <xf numFmtId="0" fontId="20" fillId="10" borderId="87" xfId="0" applyFont="1" applyFill="1" applyBorder="1" applyAlignment="1" applyProtection="1">
      <alignment horizontal="center" vertical="center" wrapText="1"/>
      <protection hidden="1"/>
    </xf>
    <xf numFmtId="0" fontId="12" fillId="10" borderId="88" xfId="0" applyFont="1" applyFill="1" applyBorder="1" applyAlignment="1" applyProtection="1">
      <alignment horizontal="center" vertical="center" wrapText="1"/>
      <protection hidden="1"/>
    </xf>
    <xf numFmtId="4" fontId="21" fillId="6" borderId="89" xfId="0" applyNumberFormat="1" applyFont="1" applyFill="1" applyBorder="1" applyAlignment="1" applyProtection="1">
      <alignment horizontal="left" vertical="center" wrapText="1"/>
      <protection hidden="1"/>
    </xf>
    <xf numFmtId="4" fontId="9" fillId="6" borderId="89" xfId="0" applyNumberFormat="1" applyFont="1" applyFill="1" applyBorder="1" applyAlignment="1" applyProtection="1">
      <alignment horizontal="center" vertical="center" wrapText="1"/>
      <protection hidden="1"/>
    </xf>
    <xf numFmtId="183" fontId="9" fillId="6" borderId="90" xfId="0" applyNumberFormat="1" applyFont="1" applyFill="1" applyBorder="1" applyAlignment="1" applyProtection="1">
      <alignment horizontal="center" vertical="center" wrapText="1"/>
      <protection hidden="1"/>
    </xf>
    <xf numFmtId="181" fontId="9" fillId="6" borderId="91" xfId="0" applyNumberFormat="1" applyFont="1" applyFill="1" applyBorder="1" applyAlignment="1" applyProtection="1">
      <alignment horizontal="center" vertical="center" wrapText="1"/>
      <protection hidden="1"/>
    </xf>
    <xf numFmtId="181" fontId="9" fillId="6" borderId="92" xfId="0" applyNumberFormat="1" applyFont="1" applyFill="1" applyBorder="1" applyAlignment="1" applyProtection="1">
      <alignment horizontal="center" vertical="center" wrapText="1"/>
      <protection hidden="1"/>
    </xf>
    <xf numFmtId="181" fontId="9" fillId="6" borderId="93" xfId="0" applyNumberFormat="1" applyFont="1" applyFill="1" applyBorder="1" applyAlignment="1" applyProtection="1">
      <alignment horizontal="center" vertical="center" wrapText="1"/>
      <protection hidden="1"/>
    </xf>
    <xf numFmtId="0" fontId="17" fillId="2" borderId="0" xfId="0" applyFont="1" applyFill="1" applyAlignment="1">
      <alignment vertical="center" wrapText="1"/>
    </xf>
    <xf numFmtId="0" fontId="18" fillId="2" borderId="0" xfId="0" applyFont="1" applyFill="1" applyAlignment="1">
      <alignment vertical="center" wrapText="1"/>
    </xf>
    <xf numFmtId="0" fontId="12" fillId="2" borderId="30" xfId="0" applyFont="1" applyFill="1" applyBorder="1" applyAlignment="1">
      <alignment horizontal="justify" vertical="center" wrapText="1"/>
    </xf>
    <xf numFmtId="0" fontId="12" fillId="2" borderId="31" xfId="0" applyFont="1" applyFill="1" applyBorder="1" applyAlignment="1">
      <alignment horizontal="justify" vertical="center" wrapText="1"/>
    </xf>
    <xf numFmtId="0" fontId="12" fillId="2" borderId="32" xfId="0" applyFont="1" applyFill="1" applyBorder="1" applyAlignment="1">
      <alignment horizontal="justify" vertical="center" wrapText="1"/>
    </xf>
    <xf numFmtId="0" fontId="24" fillId="2" borderId="0" xfId="0" applyFont="1" applyFill="1" applyAlignment="1">
      <alignment vertical="center" wrapText="1"/>
    </xf>
    <xf numFmtId="0" fontId="4" fillId="5" borderId="0" xfId="0" applyFont="1" applyFill="1" applyAlignment="1" applyProtection="1">
      <alignment horizontal="left" vertical="center" wrapText="1"/>
      <protection locked="0" hidden="1"/>
    </xf>
    <xf numFmtId="0" fontId="20" fillId="10" borderId="94" xfId="0" applyFont="1" applyFill="1" applyBorder="1" applyAlignment="1" applyProtection="1">
      <alignment horizontal="center" vertical="center" wrapText="1"/>
      <protection hidden="1"/>
    </xf>
    <xf numFmtId="181" fontId="9" fillId="6" borderId="60" xfId="0" applyNumberFormat="1" applyFont="1" applyFill="1" applyBorder="1" applyAlignment="1" applyProtection="1">
      <alignment horizontal="center" vertical="center" wrapText="1"/>
      <protection hidden="1"/>
    </xf>
    <xf numFmtId="0" fontId="17" fillId="9" borderId="0" xfId="0" applyFont="1" applyFill="1" applyAlignment="1">
      <alignment horizontal="center" vertical="center" wrapText="1"/>
    </xf>
    <xf numFmtId="0" fontId="5" fillId="2" borderId="30"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5" fillId="2" borderId="32" xfId="0" applyFont="1" applyFill="1" applyBorder="1" applyAlignment="1">
      <alignment horizontal="center" vertical="center" wrapText="1"/>
    </xf>
    <xf numFmtId="20" fontId="4" fillId="0" borderId="63" xfId="0" applyNumberFormat="1" applyFont="1" applyFill="1" applyBorder="1" applyAlignment="1">
      <alignment horizontal="center" vertical="center" wrapText="1"/>
    </xf>
    <xf numFmtId="20" fontId="4" fillId="0" borderId="64" xfId="0" applyNumberFormat="1" applyFont="1" applyFill="1" applyBorder="1" applyAlignment="1">
      <alignment horizontal="center" vertical="center" wrapText="1"/>
    </xf>
    <xf numFmtId="0" fontId="24" fillId="2" borderId="33" xfId="0" applyFont="1" applyFill="1" applyBorder="1" applyAlignment="1">
      <alignment horizontal="center" vertical="center" wrapText="1"/>
    </xf>
    <xf numFmtId="0" fontId="24" fillId="2" borderId="35" xfId="0" applyFont="1" applyFill="1" applyBorder="1" applyAlignment="1">
      <alignment horizontal="center" vertical="center" wrapText="1"/>
    </xf>
    <xf numFmtId="0" fontId="24" fillId="2" borderId="34" xfId="0" applyFont="1" applyFill="1" applyBorder="1" applyAlignment="1">
      <alignment horizontal="center" vertical="center" wrapText="1"/>
    </xf>
    <xf numFmtId="20" fontId="4" fillId="0" borderId="62" xfId="0" applyNumberFormat="1" applyFont="1" applyFill="1" applyBorder="1" applyAlignment="1">
      <alignment horizontal="center" vertical="center" wrapText="1"/>
    </xf>
    <xf numFmtId="20" fontId="4" fillId="0" borderId="95" xfId="0" applyNumberFormat="1" applyFont="1" applyFill="1" applyBorder="1" applyAlignment="1">
      <alignment horizontal="center" vertical="center" wrapText="1"/>
    </xf>
    <xf numFmtId="20" fontId="4" fillId="0" borderId="65" xfId="0" applyNumberFormat="1" applyFont="1" applyFill="1" applyBorder="1" applyAlignment="1">
      <alignment horizontal="center" vertical="center" wrapText="1"/>
    </xf>
    <xf numFmtId="20" fontId="4" fillId="0" borderId="96" xfId="0" applyNumberFormat="1" applyFont="1" applyFill="1" applyBorder="1" applyAlignment="1">
      <alignment horizontal="center" vertical="center" wrapText="1"/>
    </xf>
    <xf numFmtId="20" fontId="4" fillId="0" borderId="48" xfId="0" applyNumberFormat="1" applyFont="1" applyFill="1" applyBorder="1" applyAlignment="1">
      <alignment horizontal="center" vertical="center" wrapText="1"/>
    </xf>
    <xf numFmtId="20" fontId="4" fillId="0" borderId="49" xfId="0" applyNumberFormat="1" applyFont="1" applyFill="1" applyBorder="1" applyAlignment="1">
      <alignment horizontal="center" vertical="center" wrapText="1"/>
    </xf>
    <xf numFmtId="20" fontId="4" fillId="0" borderId="50" xfId="0" applyNumberFormat="1" applyFont="1" applyFill="1" applyBorder="1" applyAlignment="1">
      <alignment horizontal="center" vertical="center" wrapText="1"/>
    </xf>
    <xf numFmtId="0" fontId="12" fillId="2" borderId="0" xfId="0" applyFont="1" applyFill="1" applyAlignment="1">
      <alignment vertical="center" wrapText="1"/>
    </xf>
    <xf numFmtId="20" fontId="4" fillId="0" borderId="38" xfId="0" applyNumberFormat="1" applyFont="1" applyFill="1" applyBorder="1" applyAlignment="1">
      <alignment horizontal="center" vertical="center" wrapText="1"/>
    </xf>
    <xf numFmtId="183" fontId="4" fillId="0" borderId="1" xfId="0" applyNumberFormat="1" applyFont="1" applyFill="1" applyBorder="1" applyAlignment="1" applyProtection="1">
      <alignment horizontal="center" vertical="center" wrapText="1"/>
      <protection locked="0"/>
    </xf>
    <xf numFmtId="0" fontId="20" fillId="10" borderId="89" xfId="0" applyFont="1" applyFill="1" applyBorder="1" applyAlignment="1" applyProtection="1">
      <alignment horizontal="center" vertical="center" wrapText="1"/>
      <protection hidden="1"/>
    </xf>
    <xf numFmtId="0" fontId="12" fillId="10" borderId="89" xfId="0" applyFont="1" applyFill="1" applyBorder="1" applyAlignment="1" applyProtection="1">
      <alignment horizontal="center" vertical="center" wrapText="1"/>
      <protection hidden="1"/>
    </xf>
    <xf numFmtId="183" fontId="9" fillId="6" borderId="89" xfId="0" applyNumberFormat="1" applyFont="1" applyFill="1" applyBorder="1" applyAlignment="1" applyProtection="1">
      <alignment horizontal="center" vertical="center" wrapText="1"/>
      <protection hidden="1"/>
    </xf>
    <xf numFmtId="181" fontId="9" fillId="6" borderId="89" xfId="0" applyNumberFormat="1" applyFont="1" applyFill="1" applyBorder="1" applyAlignment="1" applyProtection="1">
      <alignment horizontal="center" vertical="center" wrapText="1"/>
      <protection hidden="1"/>
    </xf>
    <xf numFmtId="4" fontId="21" fillId="6" borderId="90" xfId="0" applyNumberFormat="1" applyFont="1" applyFill="1" applyBorder="1" applyAlignment="1" applyProtection="1">
      <alignment horizontal="left" vertical="center" wrapText="1"/>
      <protection hidden="1"/>
    </xf>
    <xf numFmtId="4" fontId="21" fillId="6" borderId="97" xfId="0" applyNumberFormat="1" applyFont="1" applyFill="1" applyBorder="1" applyAlignment="1" applyProtection="1">
      <alignment horizontal="left" vertical="center" wrapText="1"/>
      <protection hidden="1"/>
    </xf>
    <xf numFmtId="0" fontId="17" fillId="2" borderId="31" xfId="0" applyFont="1" applyFill="1" applyBorder="1" applyAlignment="1">
      <alignment vertical="center" wrapText="1"/>
    </xf>
    <xf numFmtId="0" fontId="12" fillId="17" borderId="30" xfId="0" applyFont="1" applyFill="1" applyBorder="1" applyAlignment="1">
      <alignment horizontal="justify" vertical="center" wrapText="1"/>
    </xf>
    <xf numFmtId="0" fontId="12" fillId="17" borderId="31" xfId="0" applyFont="1" applyFill="1" applyBorder="1" applyAlignment="1">
      <alignment horizontal="justify" vertical="center" wrapText="1"/>
    </xf>
    <xf numFmtId="0" fontId="12" fillId="17" borderId="32" xfId="0" applyFont="1" applyFill="1" applyBorder="1" applyAlignment="1">
      <alignment horizontal="left" vertical="center" wrapText="1"/>
    </xf>
    <xf numFmtId="0" fontId="18" fillId="2" borderId="30" xfId="0" applyFont="1" applyFill="1" applyBorder="1" applyAlignment="1">
      <alignment horizontal="center" vertical="center" wrapText="1"/>
    </xf>
    <xf numFmtId="0" fontId="18" fillId="2" borderId="32" xfId="0" applyFont="1" applyFill="1" applyBorder="1" applyAlignment="1">
      <alignment horizontal="left" vertical="center" wrapText="1"/>
    </xf>
    <xf numFmtId="20" fontId="4" fillId="0" borderId="98" xfId="0" applyNumberFormat="1" applyFont="1" applyBorder="1" applyAlignment="1">
      <alignment horizontal="center" vertical="center" wrapText="1"/>
    </xf>
    <xf numFmtId="20" fontId="4" fillId="13" borderId="99" xfId="0" applyNumberFormat="1" applyFont="1" applyFill="1" applyBorder="1" applyAlignment="1">
      <alignment horizontal="center" vertical="center" wrapText="1"/>
    </xf>
    <xf numFmtId="20" fontId="4" fillId="0" borderId="99" xfId="0" applyNumberFormat="1" applyFont="1" applyBorder="1" applyAlignment="1">
      <alignment horizontal="center" vertical="center" wrapText="1"/>
    </xf>
    <xf numFmtId="20" fontId="4" fillId="0" borderId="100" xfId="0" applyNumberFormat="1" applyFont="1" applyBorder="1" applyAlignment="1">
      <alignment horizontal="center" vertical="center" wrapText="1"/>
    </xf>
    <xf numFmtId="20" fontId="4" fillId="13" borderId="100" xfId="0" applyNumberFormat="1" applyFont="1" applyFill="1" applyBorder="1" applyAlignment="1">
      <alignment horizontal="center" vertical="center" wrapText="1"/>
    </xf>
    <xf numFmtId="20" fontId="4" fillId="0" borderId="49" xfId="0" applyNumberFormat="1" applyFont="1" applyBorder="1" applyAlignment="1">
      <alignment horizontal="center" vertical="center" wrapText="1"/>
    </xf>
    <xf numFmtId="20" fontId="4" fillId="0" borderId="50" xfId="0" applyNumberFormat="1" applyFont="1" applyBorder="1" applyAlignment="1">
      <alignment horizontal="center" vertical="center" wrapText="1"/>
    </xf>
    <xf numFmtId="0" fontId="24" fillId="2" borderId="62" xfId="0" applyFont="1" applyFill="1" applyBorder="1" applyAlignment="1">
      <alignment horizontal="center" vertical="center" wrapText="1"/>
    </xf>
    <xf numFmtId="0" fontId="24" fillId="2" borderId="63" xfId="0" applyFont="1" applyFill="1" applyBorder="1" applyAlignment="1">
      <alignment horizontal="center" vertical="center" wrapText="1"/>
    </xf>
    <xf numFmtId="0" fontId="24" fillId="2" borderId="64" xfId="0" applyFont="1" applyFill="1" applyBorder="1" applyAlignment="1">
      <alignment horizontal="center" vertical="center" wrapText="1"/>
    </xf>
    <xf numFmtId="0" fontId="8" fillId="2" borderId="95" xfId="0" applyFont="1" applyFill="1" applyBorder="1" applyAlignment="1">
      <alignment horizontal="center" vertical="center" wrapText="1"/>
    </xf>
    <xf numFmtId="0" fontId="8" fillId="2" borderId="65" xfId="0" applyFont="1" applyFill="1" applyBorder="1" applyAlignment="1">
      <alignment horizontal="center" vertical="center" wrapText="1"/>
    </xf>
    <xf numFmtId="0" fontId="8" fillId="2" borderId="96" xfId="0" applyFont="1" applyFill="1" applyBorder="1" applyAlignment="1">
      <alignment horizontal="center" vertical="center" wrapText="1"/>
    </xf>
    <xf numFmtId="20" fontId="4" fillId="2" borderId="95" xfId="0" applyNumberFormat="1" applyFont="1" applyFill="1" applyBorder="1" applyAlignment="1">
      <alignment horizontal="center" vertical="center" wrapText="1"/>
    </xf>
    <xf numFmtId="20" fontId="4" fillId="11" borderId="65" xfId="0" applyNumberFormat="1" applyFont="1" applyFill="1" applyBorder="1" applyAlignment="1">
      <alignment horizontal="center" vertical="center" wrapText="1"/>
    </xf>
    <xf numFmtId="20" fontId="4" fillId="11" borderId="96" xfId="0" applyNumberFormat="1" applyFont="1" applyFill="1" applyBorder="1" applyAlignment="1">
      <alignment horizontal="center" vertical="center" wrapText="1"/>
    </xf>
    <xf numFmtId="20" fontId="4" fillId="11" borderId="48" xfId="0" applyNumberFormat="1" applyFont="1" applyFill="1" applyBorder="1" applyAlignment="1">
      <alignment horizontal="center" vertical="center" wrapText="1"/>
    </xf>
    <xf numFmtId="20" fontId="4" fillId="11" borderId="49" xfId="0" applyNumberFormat="1" applyFont="1" applyFill="1" applyBorder="1" applyAlignment="1">
      <alignment horizontal="center" vertical="center" wrapText="1"/>
    </xf>
    <xf numFmtId="20" fontId="4" fillId="11" borderId="50" xfId="0" applyNumberFormat="1" applyFont="1" applyFill="1" applyBorder="1" applyAlignment="1">
      <alignment horizontal="center" vertical="center" wrapText="1"/>
    </xf>
    <xf numFmtId="4" fontId="4" fillId="13" borderId="1" xfId="0" applyNumberFormat="1" applyFont="1" applyFill="1" applyBorder="1" applyAlignment="1" applyProtection="1">
      <alignment horizontal="center" vertical="center" wrapText="1"/>
      <protection locked="0"/>
    </xf>
    <xf numFmtId="0" fontId="12" fillId="10" borderId="87" xfId="0" applyFont="1" applyFill="1" applyBorder="1" applyAlignment="1" applyProtection="1">
      <alignment horizontal="center" vertical="center" wrapText="1"/>
      <protection hidden="1"/>
    </xf>
    <xf numFmtId="4" fontId="21" fillId="6" borderId="87" xfId="0" applyNumberFormat="1" applyFont="1" applyFill="1" applyBorder="1" applyAlignment="1" applyProtection="1">
      <alignment horizontal="left" vertical="center" wrapText="1"/>
      <protection hidden="1"/>
    </xf>
    <xf numFmtId="4" fontId="9" fillId="6" borderId="87" xfId="0" applyNumberFormat="1" applyFont="1" applyFill="1" applyBorder="1" applyAlignment="1" applyProtection="1">
      <alignment horizontal="center" vertical="center" wrapText="1"/>
      <protection hidden="1"/>
    </xf>
    <xf numFmtId="183" fontId="9" fillId="6" borderId="87" xfId="0" applyNumberFormat="1" applyFont="1" applyFill="1" applyBorder="1" applyAlignment="1" applyProtection="1">
      <alignment horizontal="center" vertical="center" wrapText="1"/>
      <protection hidden="1"/>
    </xf>
    <xf numFmtId="181" fontId="9" fillId="6" borderId="87" xfId="0" applyNumberFormat="1" applyFont="1" applyFill="1" applyBorder="1" applyAlignment="1" applyProtection="1">
      <alignment horizontal="center" vertical="center" wrapText="1"/>
      <protection hidden="1"/>
    </xf>
    <xf numFmtId="0" fontId="17" fillId="9" borderId="101" xfId="0" applyFont="1" applyFill="1" applyBorder="1" applyAlignment="1">
      <alignment horizontal="center" vertical="center" wrapText="1"/>
    </xf>
    <xf numFmtId="0" fontId="8" fillId="5" borderId="30" xfId="0" applyFont="1" applyFill="1" applyBorder="1" applyAlignment="1">
      <alignment horizontal="justify" vertical="center" wrapText="1"/>
    </xf>
    <xf numFmtId="0" fontId="8" fillId="5" borderId="31" xfId="0" applyFont="1" applyFill="1" applyBorder="1" applyAlignment="1">
      <alignment horizontal="justify" vertical="center" wrapText="1"/>
    </xf>
    <xf numFmtId="0" fontId="8" fillId="5" borderId="32" xfId="0" applyFont="1" applyFill="1" applyBorder="1" applyAlignment="1">
      <alignment horizontal="justify" vertical="center" wrapText="1"/>
    </xf>
    <xf numFmtId="0" fontId="18" fillId="5" borderId="30" xfId="0" applyFont="1" applyFill="1" applyBorder="1" applyAlignment="1">
      <alignment horizontal="center" vertical="center" wrapText="1"/>
    </xf>
    <xf numFmtId="0" fontId="18" fillId="5" borderId="31" xfId="0" applyFont="1" applyFill="1" applyBorder="1" applyAlignment="1">
      <alignment horizontal="center" vertical="center" wrapText="1"/>
    </xf>
    <xf numFmtId="0" fontId="18" fillId="5" borderId="32" xfId="0" applyFont="1" applyFill="1" applyBorder="1" applyAlignment="1">
      <alignment horizontal="center" vertical="center" wrapText="1"/>
    </xf>
    <xf numFmtId="0" fontId="8" fillId="5" borderId="30" xfId="0" applyFont="1" applyFill="1" applyBorder="1" applyAlignment="1">
      <alignment horizontal="center" vertical="center" wrapText="1"/>
    </xf>
    <xf numFmtId="0" fontId="8" fillId="5" borderId="32" xfId="0" applyFont="1" applyFill="1" applyBorder="1" applyAlignment="1">
      <alignment horizontal="center" vertical="center" wrapText="1"/>
    </xf>
    <xf numFmtId="20" fontId="22" fillId="0" borderId="30" xfId="0" applyNumberFormat="1" applyFont="1" applyFill="1" applyBorder="1" applyAlignment="1">
      <alignment horizontal="center" vertical="center" wrapText="1"/>
    </xf>
    <xf numFmtId="20" fontId="22" fillId="0" borderId="32" xfId="0" applyNumberFormat="1" applyFont="1" applyFill="1" applyBorder="1" applyAlignment="1">
      <alignment horizontal="center" vertical="center" wrapText="1"/>
    </xf>
    <xf numFmtId="20" fontId="4" fillId="0" borderId="30" xfId="0" applyNumberFormat="1" applyFont="1" applyFill="1" applyBorder="1" applyAlignment="1">
      <alignment horizontal="center" vertical="center" wrapText="1"/>
    </xf>
    <xf numFmtId="20" fontId="4" fillId="0" borderId="32" xfId="0" applyNumberFormat="1" applyFont="1" applyFill="1" applyBorder="1" applyAlignment="1">
      <alignment horizontal="center" vertical="center" wrapText="1"/>
    </xf>
    <xf numFmtId="0" fontId="8" fillId="2" borderId="101" xfId="0" applyFont="1" applyFill="1" applyBorder="1" applyAlignment="1">
      <alignment horizontal="justify" vertical="center" wrapText="1"/>
    </xf>
    <xf numFmtId="0" fontId="8" fillId="2" borderId="0" xfId="0" applyFont="1" applyFill="1" applyBorder="1" applyAlignment="1">
      <alignment horizontal="justify" vertical="center" wrapText="1"/>
    </xf>
    <xf numFmtId="0" fontId="8" fillId="0" borderId="30" xfId="0" applyFont="1" applyFill="1" applyBorder="1" applyAlignment="1">
      <alignment horizontal="justify" vertical="center" wrapText="1"/>
    </xf>
    <xf numFmtId="0" fontId="8" fillId="0" borderId="31" xfId="0" applyFont="1" applyFill="1" applyBorder="1" applyAlignment="1">
      <alignment horizontal="justify" vertical="center" wrapText="1"/>
    </xf>
    <xf numFmtId="0" fontId="8" fillId="0" borderId="32" xfId="0" applyFont="1" applyFill="1" applyBorder="1" applyAlignment="1">
      <alignment horizontal="justify" vertical="center" wrapText="1"/>
    </xf>
    <xf numFmtId="0" fontId="18" fillId="2" borderId="102" xfId="0" applyFont="1" applyFill="1" applyBorder="1" applyAlignment="1">
      <alignment horizontal="center" vertical="center" wrapText="1"/>
    </xf>
    <xf numFmtId="0" fontId="18" fillId="2" borderId="103" xfId="0" applyFont="1" applyFill="1" applyBorder="1" applyAlignment="1">
      <alignment horizontal="center" vertical="center" wrapText="1"/>
    </xf>
    <xf numFmtId="0" fontId="18" fillId="2" borderId="104" xfId="0" applyFont="1" applyFill="1" applyBorder="1" applyAlignment="1">
      <alignment horizontal="center" vertical="center" wrapText="1"/>
    </xf>
    <xf numFmtId="20" fontId="4" fillId="2" borderId="51" xfId="0" applyNumberFormat="1" applyFont="1" applyFill="1" applyBorder="1" applyAlignment="1">
      <alignment horizontal="center" vertical="center" wrapText="1"/>
    </xf>
    <xf numFmtId="20" fontId="4" fillId="2" borderId="52" xfId="0" applyNumberFormat="1" applyFont="1" applyFill="1" applyBorder="1" applyAlignment="1">
      <alignment horizontal="center" vertical="center" wrapText="1"/>
    </xf>
    <xf numFmtId="20" fontId="4" fillId="2" borderId="53" xfId="0" applyNumberFormat="1" applyFont="1" applyFill="1" applyBorder="1" applyAlignment="1">
      <alignment horizontal="center" vertical="center" wrapText="1"/>
    </xf>
    <xf numFmtId="0" fontId="4" fillId="11" borderId="0" xfId="0" applyFont="1" applyFill="1" applyAlignment="1" applyProtection="1">
      <alignment horizontal="left" vertical="center" wrapText="1"/>
      <protection hidden="1"/>
    </xf>
    <xf numFmtId="0" fontId="18" fillId="2" borderId="32" xfId="0" applyFont="1" applyFill="1" applyBorder="1" applyAlignment="1">
      <alignment horizontal="center" vertical="center" wrapText="1"/>
    </xf>
    <xf numFmtId="0" fontId="18" fillId="2" borderId="35" xfId="0" applyFont="1" applyFill="1" applyBorder="1" applyAlignment="1">
      <alignment horizontal="center" vertical="center" wrapText="1"/>
    </xf>
    <xf numFmtId="4" fontId="4" fillId="2" borderId="0" xfId="0" applyNumberFormat="1" applyFont="1" applyFill="1" applyAlignment="1" applyProtection="1">
      <alignment horizontal="left" vertical="center" wrapText="1"/>
      <protection hidden="1"/>
    </xf>
    <xf numFmtId="20" fontId="22" fillId="2" borderId="33" xfId="0" applyNumberFormat="1" applyFont="1" applyFill="1" applyBorder="1" applyAlignment="1">
      <alignment horizontal="center" vertical="center" wrapText="1"/>
    </xf>
    <xf numFmtId="20" fontId="22" fillId="2" borderId="35" xfId="0" applyNumberFormat="1" applyFont="1" applyFill="1" applyBorder="1" applyAlignment="1">
      <alignment horizontal="center" vertical="center" wrapText="1"/>
    </xf>
    <xf numFmtId="0" fontId="5" fillId="2" borderId="0" xfId="0" applyFont="1" applyFill="1" applyAlignment="1" applyProtection="1">
      <alignment horizontal="left" vertical="center" wrapText="1"/>
      <protection hidden="1"/>
    </xf>
    <xf numFmtId="0" fontId="3" fillId="10" borderId="4" xfId="0" applyFont="1" applyFill="1" applyBorder="1" applyAlignment="1" applyProtection="1">
      <alignment horizontal="center" vertical="center" wrapText="1"/>
      <protection hidden="1"/>
    </xf>
    <xf numFmtId="0" fontId="16" fillId="2" borderId="0" xfId="0" applyFont="1" applyFill="1" applyAlignment="1" applyProtection="1">
      <alignment horizontal="left" vertical="center" wrapText="1"/>
      <protection hidden="1"/>
    </xf>
    <xf numFmtId="0" fontId="4" fillId="5" borderId="1" xfId="0" applyFont="1" applyFill="1" applyBorder="1" applyAlignment="1" applyProtection="1">
      <alignment vertical="center" wrapText="1"/>
      <protection locked="0"/>
    </xf>
    <xf numFmtId="4" fontId="4" fillId="2" borderId="0" xfId="0" applyNumberFormat="1" applyFont="1" applyFill="1" applyAlignment="1" applyProtection="1">
      <alignment horizontal="left" vertical="center" wrapText="1"/>
      <protection locked="0"/>
    </xf>
    <xf numFmtId="0" fontId="4" fillId="2" borderId="0" xfId="0" applyFont="1" applyFill="1" applyAlignment="1" applyProtection="1">
      <alignment horizontal="left" vertical="center" wrapText="1"/>
      <protection locked="0"/>
    </xf>
    <xf numFmtId="0" fontId="25" fillId="2" borderId="0" xfId="0" applyFont="1" applyFill="1" applyAlignment="1" applyProtection="1">
      <alignment horizontal="left" vertical="center"/>
      <protection locked="0"/>
    </xf>
    <xf numFmtId="0" fontId="4" fillId="11" borderId="0" xfId="0" applyFont="1" applyFill="1" applyAlignment="1" applyProtection="1">
      <alignment horizontal="center" vertical="center" wrapText="1"/>
      <protection hidden="1"/>
    </xf>
    <xf numFmtId="181" fontId="9" fillId="6" borderId="105" xfId="0" applyNumberFormat="1" applyFont="1" applyFill="1" applyBorder="1" applyAlignment="1" applyProtection="1">
      <alignment horizontal="center" vertical="center" wrapText="1"/>
      <protection hidden="1"/>
    </xf>
    <xf numFmtId="181" fontId="9" fillId="6" borderId="106" xfId="0" applyNumberFormat="1" applyFont="1" applyFill="1" applyBorder="1" applyAlignment="1" applyProtection="1">
      <alignment horizontal="center" vertical="center" wrapText="1"/>
      <protection hidden="1"/>
    </xf>
    <xf numFmtId="181" fontId="9" fillId="6" borderId="58" xfId="0" applyNumberFormat="1" applyFont="1" applyFill="1" applyBorder="1" applyAlignment="1" applyProtection="1">
      <alignment horizontal="center" vertical="center" wrapText="1"/>
      <protection hidden="1"/>
    </xf>
    <xf numFmtId="0" fontId="18" fillId="5" borderId="33" xfId="0" applyFont="1" applyFill="1" applyBorder="1" applyAlignment="1">
      <alignment horizontal="center" vertical="center" wrapText="1"/>
    </xf>
    <xf numFmtId="0" fontId="18" fillId="5" borderId="35" xfId="0" applyFont="1" applyFill="1" applyBorder="1" applyAlignment="1">
      <alignment horizontal="center" vertical="center" wrapText="1"/>
    </xf>
    <xf numFmtId="0" fontId="18" fillId="5" borderId="34" xfId="0" applyFont="1" applyFill="1" applyBorder="1" applyAlignment="1">
      <alignment horizontal="center" vertical="center" wrapText="1"/>
    </xf>
    <xf numFmtId="0" fontId="8" fillId="5" borderId="36" xfId="0" applyFont="1" applyFill="1" applyBorder="1" applyAlignment="1">
      <alignment horizontal="center" vertical="center" wrapText="1"/>
    </xf>
    <xf numFmtId="20" fontId="4" fillId="5" borderId="33" xfId="0" applyNumberFormat="1" applyFont="1" applyFill="1" applyBorder="1" applyAlignment="1">
      <alignment horizontal="center" vertical="center" wrapText="1"/>
    </xf>
    <xf numFmtId="20" fontId="22" fillId="0" borderId="35" xfId="0" applyNumberFormat="1" applyFont="1" applyFill="1" applyBorder="1" applyAlignment="1">
      <alignment horizontal="center" vertical="center" wrapText="1"/>
    </xf>
    <xf numFmtId="20" fontId="4" fillId="0" borderId="34" xfId="0" applyNumberFormat="1" applyFont="1" applyFill="1" applyBorder="1" applyAlignment="1">
      <alignment horizontal="center" vertical="center" wrapText="1"/>
    </xf>
    <xf numFmtId="0" fontId="18" fillId="5" borderId="103" xfId="0" applyFont="1" applyFill="1" applyBorder="1" applyAlignment="1">
      <alignment horizontal="center" vertical="center" wrapText="1"/>
    </xf>
    <xf numFmtId="0" fontId="8" fillId="5" borderId="40" xfId="0" applyFont="1" applyFill="1" applyBorder="1" applyAlignment="1">
      <alignment horizontal="justify" vertical="center" wrapText="1"/>
    </xf>
    <xf numFmtId="0" fontId="8" fillId="5" borderId="107" xfId="0" applyFont="1" applyFill="1" applyBorder="1" applyAlignment="1">
      <alignment horizontal="justify" vertical="center" wrapText="1"/>
    </xf>
    <xf numFmtId="0" fontId="8" fillId="5" borderId="43" xfId="0" applyFont="1" applyFill="1" applyBorder="1" applyAlignment="1">
      <alignment horizontal="justify" vertical="center" wrapText="1"/>
    </xf>
    <xf numFmtId="0" fontId="15" fillId="5" borderId="36" xfId="0" applyFont="1" applyFill="1" applyBorder="1" applyAlignment="1">
      <alignment horizontal="center" vertical="center" wrapText="1"/>
    </xf>
    <xf numFmtId="185" fontId="4" fillId="5" borderId="33" xfId="0" applyNumberFormat="1" applyFont="1" applyFill="1" applyBorder="1" applyAlignment="1">
      <alignment horizontal="center" vertical="center" wrapText="1"/>
    </xf>
    <xf numFmtId="185" fontId="4" fillId="0" borderId="35" xfId="0" applyNumberFormat="1" applyFont="1" applyFill="1" applyBorder="1" applyAlignment="1">
      <alignment horizontal="center" vertical="center" wrapText="1"/>
    </xf>
    <xf numFmtId="185" fontId="4" fillId="0" borderId="34" xfId="0" applyNumberFormat="1" applyFont="1" applyFill="1" applyBorder="1" applyAlignment="1">
      <alignment horizontal="center" vertical="center" wrapText="1"/>
    </xf>
    <xf numFmtId="185" fontId="15" fillId="5" borderId="31" xfId="0" applyNumberFormat="1" applyFont="1" applyFill="1" applyBorder="1" applyAlignment="1">
      <alignment horizontal="center" vertical="center" wrapText="1"/>
    </xf>
    <xf numFmtId="185" fontId="8" fillId="5" borderId="31" xfId="0" applyNumberFormat="1" applyFont="1" applyFill="1" applyBorder="1" applyAlignment="1">
      <alignment horizontal="center" vertical="center" wrapText="1"/>
    </xf>
    <xf numFmtId="0" fontId="15" fillId="5" borderId="108" xfId="0" applyFont="1" applyFill="1" applyBorder="1" applyAlignment="1">
      <alignment horizontal="center" vertical="center" wrapText="1"/>
    </xf>
    <xf numFmtId="0" fontId="8" fillId="5" borderId="108" xfId="0" applyFont="1" applyFill="1" applyBorder="1" applyAlignment="1">
      <alignment horizontal="center" vertical="center" wrapText="1"/>
    </xf>
    <xf numFmtId="20" fontId="22" fillId="5" borderId="33" xfId="0" applyNumberFormat="1" applyFont="1" applyFill="1" applyBorder="1" applyAlignment="1">
      <alignment horizontal="center" vertical="center" wrapText="1"/>
    </xf>
    <xf numFmtId="20" fontId="15" fillId="5" borderId="109" xfId="0" applyNumberFormat="1" applyFont="1" applyFill="1" applyBorder="1" applyAlignment="1">
      <alignment horizontal="center" vertical="center" wrapText="1"/>
    </xf>
    <xf numFmtId="20" fontId="8" fillId="5" borderId="109" xfId="0" applyNumberFormat="1" applyFont="1" applyFill="1" applyBorder="1" applyAlignment="1">
      <alignment horizontal="center" vertical="center" wrapText="1"/>
    </xf>
    <xf numFmtId="20" fontId="4" fillId="0" borderId="35" xfId="0" applyNumberFormat="1" applyFont="1" applyFill="1" applyBorder="1" applyAlignment="1">
      <alignment horizontal="center" vertical="center" wrapText="1"/>
    </xf>
    <xf numFmtId="0" fontId="15" fillId="2" borderId="36" xfId="0" applyFont="1" applyFill="1" applyBorder="1" applyAlignment="1">
      <alignment vertical="center" wrapText="1"/>
    </xf>
    <xf numFmtId="0" fontId="24" fillId="2" borderId="110" xfId="0" applyFont="1" applyFill="1" applyBorder="1" applyAlignment="1">
      <alignment horizontal="center" vertical="center" wrapText="1"/>
    </xf>
    <xf numFmtId="0" fontId="24" fillId="2" borderId="111" xfId="0" applyFont="1" applyFill="1" applyBorder="1" applyAlignment="1">
      <alignment horizontal="center" vertical="center" wrapText="1"/>
    </xf>
    <xf numFmtId="0" fontId="24" fillId="2" borderId="112" xfId="0" applyFont="1" applyFill="1" applyBorder="1" applyAlignment="1">
      <alignment horizontal="center" vertical="center" wrapText="1"/>
    </xf>
    <xf numFmtId="0" fontId="8" fillId="2" borderId="62" xfId="0" applyFont="1" applyFill="1" applyBorder="1" applyAlignment="1">
      <alignment horizontal="center" vertical="center" wrapText="1"/>
    </xf>
    <xf numFmtId="0" fontId="8" fillId="2" borderId="63" xfId="0" applyFont="1" applyFill="1" applyBorder="1" applyAlignment="1">
      <alignment horizontal="center" vertical="center" wrapText="1"/>
    </xf>
    <xf numFmtId="0" fontId="15" fillId="2" borderId="64" xfId="0" applyFont="1" applyFill="1" applyBorder="1" applyAlignment="1">
      <alignment horizontal="center" vertical="center" wrapText="1"/>
    </xf>
    <xf numFmtId="20" fontId="4" fillId="2" borderId="96" xfId="0" applyNumberFormat="1" applyFont="1" applyFill="1" applyBorder="1" applyAlignment="1">
      <alignment horizontal="center" vertical="center" wrapText="1"/>
    </xf>
    <xf numFmtId="20" fontId="8" fillId="2" borderId="0" xfId="0" applyNumberFormat="1" applyFont="1" applyFill="1" applyAlignment="1">
      <alignment horizontal="left" vertical="center" wrapText="1"/>
    </xf>
    <xf numFmtId="20" fontId="26" fillId="2" borderId="48" xfId="0" applyNumberFormat="1" applyFont="1" applyFill="1" applyBorder="1" applyAlignment="1">
      <alignment horizontal="center" vertical="center" wrapText="1"/>
    </xf>
    <xf numFmtId="0" fontId="15" fillId="2" borderId="34" xfId="0" applyFont="1" applyFill="1" applyBorder="1" applyAlignment="1">
      <alignment horizontal="center" vertical="center" wrapText="1"/>
    </xf>
    <xf numFmtId="0" fontId="25" fillId="0" borderId="0" xfId="0" applyFont="1" applyFill="1" applyAlignment="1" applyProtection="1">
      <alignment vertical="center"/>
      <protection locked="0"/>
    </xf>
    <xf numFmtId="0" fontId="4" fillId="0" borderId="0" xfId="0" applyFont="1" applyFill="1" applyAlignment="1" applyProtection="1">
      <alignment horizontal="left" vertical="center" wrapText="1"/>
      <protection locked="0" hidden="1"/>
    </xf>
    <xf numFmtId="0" fontId="8" fillId="17" borderId="33" xfId="0" applyFont="1" applyFill="1" applyBorder="1" applyAlignment="1">
      <alignment horizontal="left" vertical="center" wrapText="1"/>
    </xf>
    <xf numFmtId="0" fontId="8" fillId="17" borderId="35" xfId="0" applyFont="1" applyFill="1" applyBorder="1" applyAlignment="1">
      <alignment horizontal="left" vertical="center" wrapText="1"/>
    </xf>
    <xf numFmtId="0" fontId="8" fillId="17" borderId="34" xfId="0" applyFont="1" applyFill="1" applyBorder="1" applyAlignment="1">
      <alignment horizontal="left" vertical="center" wrapText="1"/>
    </xf>
    <xf numFmtId="0" fontId="18" fillId="2" borderId="110" xfId="0" applyFont="1" applyFill="1" applyBorder="1" applyAlignment="1">
      <alignment horizontal="center" vertical="center" wrapText="1"/>
    </xf>
    <xf numFmtId="0" fontId="18" fillId="2" borderId="111" xfId="0" applyFont="1" applyFill="1" applyBorder="1" applyAlignment="1">
      <alignment horizontal="center" vertical="center" wrapText="1"/>
    </xf>
    <xf numFmtId="0" fontId="18" fillId="2" borderId="112" xfId="0" applyFont="1" applyFill="1" applyBorder="1" applyAlignment="1">
      <alignment horizontal="center" vertical="center" wrapText="1"/>
    </xf>
    <xf numFmtId="20" fontId="4" fillId="13" borderId="63" xfId="0" applyNumberFormat="1" applyFont="1" applyFill="1" applyBorder="1" applyAlignment="1">
      <alignment horizontal="center" vertical="center" wrapText="1"/>
    </xf>
    <xf numFmtId="20" fontId="4" fillId="13" borderId="64" xfId="0" applyNumberFormat="1" applyFont="1" applyFill="1" applyBorder="1" applyAlignment="1">
      <alignment horizontal="center" vertical="center" wrapText="1"/>
    </xf>
    <xf numFmtId="20" fontId="4" fillId="13" borderId="48" xfId="0" applyNumberFormat="1" applyFont="1" applyFill="1" applyBorder="1" applyAlignment="1">
      <alignment horizontal="center" vertical="center" wrapText="1"/>
    </xf>
    <xf numFmtId="0" fontId="8" fillId="11" borderId="33" xfId="0" applyFont="1" applyFill="1" applyBorder="1" applyAlignment="1">
      <alignment horizontal="left" vertical="center" wrapText="1"/>
    </xf>
    <xf numFmtId="0" fontId="8" fillId="11" borderId="35" xfId="0" applyFont="1" applyFill="1" applyBorder="1" applyAlignment="1">
      <alignment horizontal="left" vertical="center" wrapText="1"/>
    </xf>
    <xf numFmtId="0" fontId="8" fillId="11" borderId="34" xfId="0" applyFont="1" applyFill="1" applyBorder="1" applyAlignment="1">
      <alignment horizontal="left" vertical="center" wrapText="1"/>
    </xf>
    <xf numFmtId="0" fontId="15" fillId="2" borderId="36" xfId="0" applyFont="1" applyFill="1" applyBorder="1" applyAlignment="1">
      <alignment horizontal="center" vertical="center" wrapText="1"/>
    </xf>
    <xf numFmtId="20" fontId="22" fillId="2" borderId="98" xfId="0" applyNumberFormat="1" applyFont="1" applyFill="1" applyBorder="1" applyAlignment="1">
      <alignment horizontal="center" vertical="center" wrapText="1"/>
    </xf>
    <xf numFmtId="20" fontId="4" fillId="11" borderId="99" xfId="0" applyNumberFormat="1" applyFont="1" applyFill="1" applyBorder="1" applyAlignment="1">
      <alignment horizontal="center" vertical="center" wrapText="1"/>
    </xf>
    <xf numFmtId="20" fontId="4" fillId="2" borderId="99" xfId="0" applyNumberFormat="1" applyFont="1" applyFill="1" applyBorder="1" applyAlignment="1">
      <alignment horizontal="center" vertical="center" wrapText="1"/>
    </xf>
    <xf numFmtId="20" fontId="4" fillId="11" borderId="100" xfId="0" applyNumberFormat="1" applyFont="1" applyFill="1" applyBorder="1" applyAlignment="1">
      <alignment horizontal="center" vertical="center" wrapText="1"/>
    </xf>
    <xf numFmtId="20" fontId="22" fillId="11" borderId="48" xfId="0" applyNumberFormat="1" applyFont="1" applyFill="1" applyBorder="1" applyAlignment="1">
      <alignment horizontal="center" vertical="center" wrapText="1"/>
    </xf>
    <xf numFmtId="20" fontId="4" fillId="14" borderId="65" xfId="0" applyNumberFormat="1" applyFont="1" applyFill="1" applyBorder="1" applyAlignment="1">
      <alignment horizontal="center" vertical="center" wrapText="1"/>
    </xf>
    <xf numFmtId="20" fontId="4" fillId="14" borderId="96" xfId="0" applyNumberFormat="1" applyFont="1" applyFill="1" applyBorder="1" applyAlignment="1">
      <alignment horizontal="center" vertical="center" wrapText="1"/>
    </xf>
    <xf numFmtId="20" fontId="4" fillId="14" borderId="48" xfId="0" applyNumberFormat="1" applyFont="1" applyFill="1" applyBorder="1" applyAlignment="1">
      <alignment horizontal="center" vertical="center" wrapText="1"/>
    </xf>
    <xf numFmtId="20" fontId="22" fillId="2" borderId="79" xfId="0" applyNumberFormat="1" applyFont="1" applyFill="1" applyBorder="1" applyAlignment="1">
      <alignment horizontal="center" vertical="center" wrapText="1"/>
    </xf>
    <xf numFmtId="183" fontId="4" fillId="18" borderId="1" xfId="0" applyNumberFormat="1" applyFont="1" applyFill="1" applyBorder="1" applyAlignment="1" applyProtection="1">
      <alignment horizontal="center" vertical="center" wrapText="1"/>
      <protection hidden="1"/>
    </xf>
    <xf numFmtId="4" fontId="4" fillId="14" borderId="1" xfId="0" applyNumberFormat="1" applyFont="1" applyFill="1" applyBorder="1" applyAlignment="1" applyProtection="1">
      <alignment horizontal="center" vertical="center" wrapText="1"/>
      <protection locked="0"/>
    </xf>
    <xf numFmtId="0" fontId="25" fillId="2" borderId="0" xfId="0" applyFont="1" applyFill="1" applyProtection="1">
      <alignment vertical="center"/>
      <protection locked="0"/>
    </xf>
    <xf numFmtId="183" fontId="4" fillId="13" borderId="1" xfId="0" applyNumberFormat="1" applyFont="1" applyFill="1" applyBorder="1" applyAlignment="1" applyProtection="1">
      <alignment horizontal="center" vertical="center" wrapText="1"/>
      <protection locked="0"/>
    </xf>
    <xf numFmtId="183" fontId="4" fillId="11" borderId="1" xfId="0" applyNumberFormat="1" applyFont="1" applyFill="1" applyBorder="1" applyAlignment="1" applyProtection="1">
      <alignment horizontal="center" vertical="center" wrapText="1"/>
      <protection hidden="1"/>
    </xf>
    <xf numFmtId="0" fontId="4" fillId="13" borderId="0" xfId="0" applyFont="1" applyFill="1" applyAlignment="1" applyProtection="1">
      <alignment horizontal="center" vertical="center" wrapText="1"/>
      <protection hidden="1"/>
    </xf>
    <xf numFmtId="0" fontId="4" fillId="14" borderId="0" xfId="0" applyFont="1" applyFill="1" applyAlignment="1" applyProtection="1">
      <alignment horizontal="center" vertical="center" wrapText="1"/>
      <protection hidden="1"/>
    </xf>
    <xf numFmtId="0" fontId="4" fillId="2" borderId="37" xfId="0" applyFont="1" applyFill="1" applyBorder="1" applyAlignment="1">
      <alignment horizontal="center" vertical="center" wrapText="1"/>
    </xf>
    <xf numFmtId="20" fontId="4" fillId="0" borderId="113" xfId="0" applyNumberFormat="1" applyFont="1" applyFill="1" applyBorder="1" applyAlignment="1">
      <alignment horizontal="center" vertical="center" wrapText="1"/>
    </xf>
    <xf numFmtId="20" fontId="8" fillId="0" borderId="38" xfId="0" applyNumberFormat="1" applyFont="1" applyFill="1" applyBorder="1" applyAlignment="1">
      <alignment horizontal="center" vertical="center" wrapText="1"/>
    </xf>
    <xf numFmtId="20" fontId="4" fillId="0" borderId="40" xfId="0" applyNumberFormat="1" applyFont="1" applyFill="1" applyBorder="1" applyAlignment="1">
      <alignment horizontal="center" vertical="center" wrapText="1"/>
    </xf>
    <xf numFmtId="20" fontId="4" fillId="0" borderId="43" xfId="0" applyNumberFormat="1" applyFont="1" applyFill="1" applyBorder="1" applyAlignment="1">
      <alignment horizontal="center" vertical="center" wrapText="1"/>
    </xf>
    <xf numFmtId="0" fontId="17" fillId="0" borderId="0" xfId="0" applyFont="1" applyFill="1" applyBorder="1" applyAlignment="1">
      <alignment vertical="center" wrapText="1"/>
    </xf>
    <xf numFmtId="0" fontId="8" fillId="2" borderId="0" xfId="0" applyFont="1" applyFill="1" applyBorder="1" applyAlignment="1">
      <alignment vertical="center" wrapText="1"/>
    </xf>
    <xf numFmtId="0" fontId="18" fillId="2" borderId="0" xfId="0" applyFont="1" applyFill="1" applyBorder="1" applyAlignment="1">
      <alignment vertical="center" wrapText="1"/>
    </xf>
    <xf numFmtId="20" fontId="4" fillId="2" borderId="0" xfId="0" applyNumberFormat="1" applyFont="1" applyFill="1" applyBorder="1" applyAlignment="1">
      <alignment vertical="center" wrapText="1"/>
    </xf>
    <xf numFmtId="20" fontId="4" fillId="2" borderId="114" xfId="0" applyNumberFormat="1" applyFont="1" applyFill="1" applyBorder="1" applyAlignment="1">
      <alignment horizontal="center" vertical="center" wrapText="1"/>
    </xf>
    <xf numFmtId="20" fontId="4" fillId="2" borderId="115" xfId="0" applyNumberFormat="1" applyFont="1" applyFill="1" applyBorder="1" applyAlignment="1">
      <alignment horizontal="center" vertical="center" wrapText="1"/>
    </xf>
    <xf numFmtId="20" fontId="4" fillId="0" borderId="114" xfId="0" applyNumberFormat="1" applyFont="1" applyFill="1" applyBorder="1" applyAlignment="1">
      <alignment horizontal="center" vertical="center" wrapText="1"/>
    </xf>
    <xf numFmtId="20" fontId="4" fillId="0" borderId="115" xfId="0" applyNumberFormat="1" applyFont="1" applyFill="1" applyBorder="1" applyAlignment="1">
      <alignment horizontal="center" vertical="center" wrapText="1"/>
    </xf>
    <xf numFmtId="20" fontId="4" fillId="0" borderId="44" xfId="0" applyNumberFormat="1" applyFont="1" applyFill="1" applyBorder="1" applyAlignment="1">
      <alignment horizontal="center" vertical="center" wrapText="1"/>
    </xf>
    <xf numFmtId="20" fontId="4" fillId="0" borderId="47" xfId="0" applyNumberFormat="1" applyFont="1" applyFill="1" applyBorder="1" applyAlignment="1">
      <alignment horizontal="center" vertical="center" wrapText="1"/>
    </xf>
    <xf numFmtId="0" fontId="22" fillId="2" borderId="0" xfId="0" applyFont="1" applyFill="1" applyAlignment="1">
      <alignment vertical="center" wrapText="1"/>
    </xf>
    <xf numFmtId="0" fontId="4" fillId="2" borderId="0" xfId="0" applyFont="1" applyFill="1" applyAlignment="1">
      <alignment horizontal="center" vertical="center" wrapText="1"/>
    </xf>
    <xf numFmtId="0" fontId="8" fillId="0" borderId="36" xfId="0" applyFont="1" applyFill="1" applyBorder="1" applyAlignment="1">
      <alignment horizontal="center" vertical="center" wrapText="1"/>
    </xf>
    <xf numFmtId="20" fontId="4" fillId="0" borderId="80" xfId="0" applyNumberFormat="1" applyFont="1" applyFill="1" applyBorder="1" applyAlignment="1">
      <alignment horizontal="center" vertical="center" wrapText="1"/>
    </xf>
    <xf numFmtId="20" fontId="4" fillId="0" borderId="84" xfId="0" applyNumberFormat="1" applyFont="1" applyFill="1" applyBorder="1" applyAlignment="1">
      <alignment horizontal="center" vertical="center" wrapText="1"/>
    </xf>
    <xf numFmtId="0" fontId="12" fillId="10" borderId="22" xfId="0" applyFont="1" applyFill="1" applyBorder="1" applyAlignment="1" applyProtection="1">
      <alignment vertical="center" wrapText="1"/>
      <protection hidden="1"/>
    </xf>
    <xf numFmtId="0" fontId="12" fillId="10" borderId="23" xfId="0" applyFont="1" applyFill="1" applyBorder="1" applyAlignment="1" applyProtection="1">
      <alignment vertical="center" wrapText="1"/>
      <protection hidden="1"/>
    </xf>
    <xf numFmtId="4" fontId="12" fillId="10" borderId="23" xfId="0" applyNumberFormat="1" applyFont="1" applyFill="1" applyBorder="1" applyAlignment="1" applyProtection="1">
      <alignment horizontal="center" vertical="center" wrapText="1"/>
      <protection hidden="1"/>
    </xf>
    <xf numFmtId="0" fontId="12" fillId="10" borderId="22" xfId="0" applyFont="1" applyFill="1" applyBorder="1" applyAlignment="1" applyProtection="1">
      <alignment horizontal="center" vertical="center"/>
      <protection hidden="1"/>
    </xf>
    <xf numFmtId="0" fontId="12" fillId="10" borderId="24" xfId="0" applyFont="1" applyFill="1" applyBorder="1" applyAlignment="1" applyProtection="1">
      <alignment horizontal="center" vertical="center"/>
      <protection hidden="1"/>
    </xf>
    <xf numFmtId="0" fontId="12" fillId="10" borderId="75" xfId="0" applyFont="1" applyFill="1" applyBorder="1" applyAlignment="1" applyProtection="1">
      <alignment horizontal="center" vertical="center" wrapText="1"/>
      <protection hidden="1"/>
    </xf>
    <xf numFmtId="0" fontId="12" fillId="10" borderId="11" xfId="0" applyFont="1" applyFill="1" applyBorder="1" applyAlignment="1" applyProtection="1">
      <alignment horizontal="center" vertical="center" wrapText="1"/>
      <protection hidden="1"/>
    </xf>
    <xf numFmtId="0" fontId="12" fillId="0" borderId="116" xfId="0" applyFont="1" applyFill="1" applyBorder="1" applyAlignment="1" applyProtection="1">
      <alignment horizontal="center" vertical="center" wrapText="1"/>
      <protection hidden="1"/>
    </xf>
    <xf numFmtId="0" fontId="20" fillId="10" borderId="117" xfId="0" applyFont="1" applyFill="1" applyBorder="1" applyAlignment="1" applyProtection="1">
      <alignment horizontal="center" vertical="center" wrapText="1"/>
      <protection hidden="1"/>
    </xf>
    <xf numFmtId="0" fontId="20" fillId="10" borderId="0" xfId="0" applyFont="1" applyFill="1" applyAlignment="1" applyProtection="1">
      <alignment horizontal="center" vertical="center" wrapText="1"/>
      <protection hidden="1"/>
    </xf>
    <xf numFmtId="0" fontId="12" fillId="10" borderId="118" xfId="0" applyFont="1" applyFill="1" applyBorder="1" applyAlignment="1" applyProtection="1">
      <alignment horizontal="center" vertical="center" wrapText="1"/>
      <protection hidden="1"/>
    </xf>
    <xf numFmtId="0" fontId="12" fillId="10" borderId="0" xfId="0" applyFont="1" applyFill="1" applyBorder="1" applyAlignment="1" applyProtection="1">
      <alignment horizontal="center" vertical="center" wrapText="1"/>
      <protection hidden="1"/>
    </xf>
    <xf numFmtId="0" fontId="12" fillId="10" borderId="2" xfId="0" applyFont="1" applyFill="1" applyBorder="1" applyAlignment="1" applyProtection="1">
      <alignment horizontal="center" vertical="center" wrapText="1"/>
      <protection hidden="1"/>
    </xf>
    <xf numFmtId="0" fontId="12" fillId="10" borderId="4" xfId="0" applyFont="1" applyFill="1" applyBorder="1" applyAlignment="1" applyProtection="1">
      <alignment horizontal="center" vertical="center" wrapText="1"/>
      <protection hidden="1"/>
    </xf>
    <xf numFmtId="0" fontId="12" fillId="10" borderId="5" xfId="0" applyFont="1" applyFill="1" applyBorder="1" applyAlignment="1" applyProtection="1">
      <alignment horizontal="center" vertical="center" wrapText="1"/>
      <protection hidden="1"/>
    </xf>
    <xf numFmtId="0" fontId="12" fillId="10" borderId="106" xfId="0" applyFont="1" applyFill="1" applyBorder="1" applyAlignment="1" applyProtection="1">
      <alignment horizontal="center" vertical="center" wrapText="1"/>
      <protection hidden="1"/>
    </xf>
    <xf numFmtId="4" fontId="9" fillId="6" borderId="119" xfId="0" applyNumberFormat="1" applyFont="1" applyFill="1" applyBorder="1" applyAlignment="1" applyProtection="1">
      <alignment horizontal="center" vertical="center" wrapText="1"/>
      <protection hidden="1"/>
    </xf>
    <xf numFmtId="4" fontId="21" fillId="6" borderId="119" xfId="0" applyNumberFormat="1" applyFont="1" applyFill="1" applyBorder="1" applyAlignment="1" applyProtection="1">
      <alignment horizontal="left" vertical="center" wrapText="1"/>
      <protection hidden="1"/>
    </xf>
    <xf numFmtId="183" fontId="9" fillId="6" borderId="119" xfId="0" applyNumberFormat="1" applyFont="1" applyFill="1" applyBorder="1" applyAlignment="1" applyProtection="1">
      <alignment horizontal="center" vertical="center" wrapText="1"/>
      <protection hidden="1"/>
    </xf>
    <xf numFmtId="20" fontId="4" fillId="2" borderId="113" xfId="0" applyNumberFormat="1" applyFont="1" applyFill="1" applyBorder="1" applyAlignment="1">
      <alignment horizontal="center" vertical="center" wrapText="1"/>
    </xf>
    <xf numFmtId="0" fontId="25" fillId="0" borderId="0" xfId="0" applyFont="1" applyProtection="1">
      <alignment vertical="center"/>
      <protection locked="0"/>
    </xf>
    <xf numFmtId="181" fontId="9" fillId="6" borderId="120" xfId="0" applyNumberFormat="1" applyFont="1" applyFill="1" applyBorder="1" applyAlignment="1" applyProtection="1">
      <alignment horizontal="center" vertical="center" wrapText="1"/>
      <protection hidden="1"/>
    </xf>
    <xf numFmtId="181" fontId="9" fillId="6" borderId="116" xfId="0" applyNumberFormat="1" applyFont="1" applyFill="1" applyBorder="1" applyAlignment="1" applyProtection="1">
      <alignment horizontal="center" vertical="center" wrapText="1"/>
      <protection hidden="1"/>
    </xf>
    <xf numFmtId="181" fontId="9" fillId="6" borderId="121" xfId="0" applyNumberFormat="1" applyFont="1" applyFill="1" applyBorder="1" applyAlignment="1" applyProtection="1">
      <alignment horizontal="center" vertical="center" wrapText="1"/>
      <protection hidden="1"/>
    </xf>
    <xf numFmtId="0" fontId="8" fillId="2" borderId="66" xfId="0" applyFont="1" applyFill="1" applyBorder="1" applyAlignment="1">
      <alignment horizontal="center" vertical="center" wrapText="1"/>
    </xf>
    <xf numFmtId="0" fontId="12" fillId="2" borderId="30" xfId="0" applyFont="1" applyFill="1" applyBorder="1" applyAlignment="1">
      <alignment horizontal="left" vertical="center" wrapText="1"/>
    </xf>
    <xf numFmtId="0" fontId="12" fillId="2" borderId="31" xfId="0" applyFont="1" applyFill="1" applyBorder="1" applyAlignment="1">
      <alignment horizontal="left" vertical="center" wrapText="1"/>
    </xf>
    <xf numFmtId="0" fontId="12" fillId="2" borderId="32" xfId="0" applyFont="1" applyFill="1" applyBorder="1" applyAlignment="1">
      <alignment horizontal="left" vertical="center" wrapText="1"/>
    </xf>
    <xf numFmtId="183" fontId="4" fillId="0" borderId="1" xfId="0" applyNumberFormat="1" applyFont="1" applyFill="1" applyBorder="1" applyAlignment="1" applyProtection="1">
      <alignment horizontal="center" vertical="center" wrapText="1"/>
      <protection hidden="1"/>
    </xf>
    <xf numFmtId="0" fontId="8" fillId="2" borderId="108" xfId="0" applyFont="1" applyFill="1" applyBorder="1" applyAlignment="1">
      <alignment horizontal="center" vertical="center" wrapText="1"/>
    </xf>
    <xf numFmtId="20" fontId="4" fillId="2" borderId="65" xfId="0" applyNumberFormat="1" applyFont="1" applyFill="1" applyBorder="1" applyAlignment="1" applyProtection="1">
      <alignment horizontal="center" vertical="center" wrapText="1"/>
      <protection hidden="1"/>
    </xf>
    <xf numFmtId="0" fontId="8" fillId="0" borderId="0" xfId="0" applyFont="1" applyFill="1" applyAlignment="1">
      <alignment horizontal="center" vertical="center" wrapText="1"/>
    </xf>
    <xf numFmtId="0" fontId="12" fillId="0" borderId="30" xfId="0" applyFont="1" applyFill="1" applyBorder="1" applyAlignment="1">
      <alignment horizontal="justify" vertical="center" wrapText="1"/>
    </xf>
    <xf numFmtId="0" fontId="12" fillId="0" borderId="31" xfId="0" applyFont="1" applyFill="1" applyBorder="1" applyAlignment="1">
      <alignment horizontal="justify" vertical="center" wrapText="1"/>
    </xf>
    <xf numFmtId="0" fontId="12" fillId="0" borderId="32" xfId="0" applyFont="1" applyFill="1" applyBorder="1" applyAlignment="1">
      <alignment horizontal="justify" vertical="center" wrapText="1"/>
    </xf>
    <xf numFmtId="0" fontId="18" fillId="0" borderId="30" xfId="0" applyFont="1" applyFill="1" applyBorder="1" applyAlignment="1">
      <alignment horizontal="center" vertical="center" wrapText="1"/>
    </xf>
    <xf numFmtId="0" fontId="18" fillId="0" borderId="31" xfId="0" applyFont="1" applyFill="1" applyBorder="1" applyAlignment="1">
      <alignment horizontal="center" vertical="center" wrapText="1"/>
    </xf>
    <xf numFmtId="0" fontId="18" fillId="0" borderId="32" xfId="0" applyFont="1" applyFill="1" applyBorder="1" applyAlignment="1">
      <alignment horizontal="center" vertical="center" wrapText="1"/>
    </xf>
    <xf numFmtId="0" fontId="12" fillId="10" borderId="122" xfId="0" applyFont="1" applyFill="1" applyBorder="1" applyAlignment="1" applyProtection="1">
      <alignment horizontal="center" vertical="center" wrapText="1"/>
      <protection hidden="1"/>
    </xf>
    <xf numFmtId="0" fontId="12" fillId="10" borderId="123" xfId="0" applyFont="1" applyFill="1" applyBorder="1" applyAlignment="1" applyProtection="1">
      <alignment horizontal="center" vertical="center" wrapText="1"/>
      <protection hidden="1"/>
    </xf>
    <xf numFmtId="0" fontId="14" fillId="0" borderId="0" xfId="0" applyFont="1" applyFill="1" applyAlignment="1" applyProtection="1">
      <alignment horizontal="center" vertical="center" wrapText="1"/>
      <protection hidden="1"/>
    </xf>
    <xf numFmtId="181" fontId="4" fillId="0" borderId="0" xfId="0" applyNumberFormat="1" applyFont="1" applyAlignment="1">
      <alignment horizontal="center" vertical="center"/>
    </xf>
    <xf numFmtId="0" fontId="15" fillId="2" borderId="30" xfId="0" applyFont="1" applyFill="1" applyBorder="1" applyAlignment="1">
      <alignment horizontal="left" vertical="center" wrapText="1"/>
    </xf>
    <xf numFmtId="0" fontId="15" fillId="2" borderId="31" xfId="0" applyFont="1" applyFill="1" applyBorder="1" applyAlignment="1">
      <alignment horizontal="left" vertical="center" wrapText="1"/>
    </xf>
    <xf numFmtId="0" fontId="15" fillId="2" borderId="32" xfId="0" applyFont="1" applyFill="1" applyBorder="1" applyAlignment="1">
      <alignment horizontal="left" vertical="center" wrapText="1"/>
    </xf>
    <xf numFmtId="20" fontId="4" fillId="11" borderId="66" xfId="0" applyNumberFormat="1" applyFont="1" applyFill="1" applyBorder="1" applyAlignment="1">
      <alignment horizontal="center" vertical="center" wrapText="1"/>
    </xf>
    <xf numFmtId="20" fontId="4" fillId="11" borderId="113" xfId="0" applyNumberFormat="1" applyFont="1" applyFill="1" applyBorder="1" applyAlignment="1">
      <alignment horizontal="center" vertical="center" wrapText="1"/>
    </xf>
    <xf numFmtId="20" fontId="1" fillId="11" borderId="113" xfId="0" applyNumberFormat="1" applyFont="1" applyFill="1" applyBorder="1" applyAlignment="1">
      <alignment horizontal="center" vertical="center" wrapText="1"/>
    </xf>
    <xf numFmtId="20" fontId="27" fillId="11" borderId="113" xfId="0" applyNumberFormat="1" applyFont="1" applyFill="1" applyBorder="1" applyAlignment="1">
      <alignment horizontal="center" vertical="center" wrapText="1"/>
    </xf>
    <xf numFmtId="20" fontId="28" fillId="11" borderId="113" xfId="0" applyNumberFormat="1" applyFont="1" applyFill="1" applyBorder="1" applyAlignment="1">
      <alignment horizontal="center" vertical="center" wrapText="1"/>
    </xf>
    <xf numFmtId="20" fontId="4" fillId="4" borderId="124" xfId="0" applyNumberFormat="1" applyFont="1" applyFill="1" applyBorder="1" applyAlignment="1">
      <alignment horizontal="center" vertical="center" wrapText="1"/>
    </xf>
    <xf numFmtId="20" fontId="27" fillId="4" borderId="124" xfId="0" applyNumberFormat="1" applyFont="1" applyFill="1" applyBorder="1" applyAlignment="1">
      <alignment horizontal="center" vertical="center" wrapText="1"/>
    </xf>
    <xf numFmtId="20" fontId="1" fillId="4" borderId="124" xfId="0" applyNumberFormat="1" applyFont="1" applyFill="1" applyBorder="1" applyAlignment="1">
      <alignment horizontal="center" vertical="center" wrapText="1"/>
    </xf>
    <xf numFmtId="20" fontId="4" fillId="11" borderId="124" xfId="0" applyNumberFormat="1" applyFont="1" applyFill="1" applyBorder="1" applyAlignment="1">
      <alignment horizontal="center" vertical="center" wrapText="1"/>
    </xf>
    <xf numFmtId="20" fontId="1" fillId="11" borderId="124" xfId="0" applyNumberFormat="1" applyFont="1" applyFill="1" applyBorder="1" applyAlignment="1">
      <alignment horizontal="center" vertical="center" wrapText="1"/>
    </xf>
    <xf numFmtId="20" fontId="4" fillId="4" borderId="38" xfId="0" applyNumberFormat="1" applyFont="1" applyFill="1" applyBorder="1" applyAlignment="1">
      <alignment horizontal="center" vertical="center" wrapText="1"/>
    </xf>
    <xf numFmtId="20" fontId="1" fillId="4" borderId="38" xfId="0" applyNumberFormat="1" applyFont="1" applyFill="1" applyBorder="1" applyAlignment="1">
      <alignment horizontal="center" vertical="center" wrapText="1"/>
    </xf>
    <xf numFmtId="0" fontId="29" fillId="2" borderId="0" xfId="0" applyFont="1" applyFill="1" applyAlignment="1">
      <alignment vertical="center" wrapText="1"/>
    </xf>
    <xf numFmtId="0" fontId="8" fillId="2" borderId="102" xfId="0" applyFont="1" applyFill="1" applyBorder="1" applyAlignment="1">
      <alignment horizontal="center" vertical="center" wrapText="1"/>
    </xf>
    <xf numFmtId="20" fontId="4" fillId="0" borderId="40" xfId="0" applyNumberFormat="1" applyFont="1" applyBorder="1" applyAlignment="1">
      <alignment horizontal="center" vertical="center"/>
    </xf>
    <xf numFmtId="20" fontId="0" fillId="0" borderId="0" xfId="0" applyNumberFormat="1" applyAlignment="1"/>
    <xf numFmtId="20" fontId="4" fillId="0" borderId="44" xfId="0" applyNumberFormat="1" applyFont="1" applyBorder="1" applyAlignment="1">
      <alignment horizontal="center" vertical="center"/>
    </xf>
    <xf numFmtId="20" fontId="4" fillId="0" borderId="0" xfId="0" applyNumberFormat="1" applyFont="1" applyAlignment="1">
      <alignment horizontal="center" vertical="center"/>
    </xf>
    <xf numFmtId="20" fontId="4" fillId="0" borderId="37" xfId="0" applyNumberFormat="1" applyFont="1" applyBorder="1" applyAlignment="1">
      <alignment horizontal="center" vertical="center"/>
    </xf>
    <xf numFmtId="20" fontId="4" fillId="0" borderId="125" xfId="0" applyNumberFormat="1" applyFont="1" applyBorder="1" applyAlignment="1">
      <alignment horizontal="center" vertical="center"/>
    </xf>
    <xf numFmtId="20" fontId="4" fillId="2" borderId="66" xfId="0" applyNumberFormat="1" applyFont="1" applyFill="1" applyBorder="1" applyAlignment="1">
      <alignment horizontal="center" vertical="center" wrapText="1"/>
    </xf>
    <xf numFmtId="0" fontId="29" fillId="2" borderId="30" xfId="0" applyFont="1" applyFill="1" applyBorder="1" applyAlignment="1">
      <alignment horizontal="center" vertical="center" wrapText="1"/>
    </xf>
    <xf numFmtId="0" fontId="29" fillId="2" borderId="31"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30" fillId="2" borderId="40" xfId="0" applyFont="1" applyFill="1" applyBorder="1" applyAlignment="1">
      <alignment horizontal="center" vertical="center" wrapText="1"/>
    </xf>
    <xf numFmtId="0" fontId="30" fillId="2" borderId="107" xfId="0" applyFont="1" applyFill="1" applyBorder="1" applyAlignment="1">
      <alignment horizontal="center" vertical="center" wrapText="1"/>
    </xf>
    <xf numFmtId="0" fontId="30" fillId="2" borderId="43" xfId="0" applyFont="1" applyFill="1" applyBorder="1" applyAlignment="1">
      <alignment horizontal="center" vertical="center" wrapText="1"/>
    </xf>
    <xf numFmtId="0" fontId="1" fillId="2" borderId="114" xfId="0" applyFont="1" applyFill="1" applyBorder="1" applyAlignment="1">
      <alignment horizontal="justify" vertical="center" wrapText="1"/>
    </xf>
    <xf numFmtId="0" fontId="1" fillId="2" borderId="126" xfId="0" applyFont="1" applyFill="1" applyBorder="1" applyAlignment="1">
      <alignment horizontal="justify" vertical="center" wrapText="1"/>
    </xf>
    <xf numFmtId="0" fontId="1" fillId="2" borderId="115" xfId="0" applyFont="1" applyFill="1" applyBorder="1" applyAlignment="1">
      <alignment horizontal="justify" vertical="center" wrapText="1"/>
    </xf>
    <xf numFmtId="0" fontId="1" fillId="2" borderId="44" xfId="0" applyFont="1" applyFill="1" applyBorder="1" applyAlignment="1">
      <alignment horizontal="justify" vertical="center" wrapText="1"/>
    </xf>
    <xf numFmtId="0" fontId="1" fillId="2" borderId="127" xfId="0" applyFont="1" applyFill="1" applyBorder="1" applyAlignment="1">
      <alignment horizontal="justify" vertical="center" wrapText="1"/>
    </xf>
    <xf numFmtId="0" fontId="1" fillId="2" borderId="47" xfId="0" applyFont="1" applyFill="1" applyBorder="1" applyAlignment="1">
      <alignment horizontal="justify" vertical="center" wrapText="1"/>
    </xf>
    <xf numFmtId="0" fontId="1" fillId="2" borderId="40" xfId="0" applyFont="1" applyFill="1" applyBorder="1" applyAlignment="1">
      <alignment horizontal="justify" vertical="center" wrapText="1"/>
    </xf>
    <xf numFmtId="0" fontId="1" fillId="2" borderId="107" xfId="0" applyFont="1" applyFill="1" applyBorder="1" applyAlignment="1">
      <alignment horizontal="justify" vertical="center" wrapText="1"/>
    </xf>
    <xf numFmtId="0" fontId="1" fillId="2" borderId="43" xfId="0" applyFont="1" applyFill="1" applyBorder="1" applyAlignment="1">
      <alignment horizontal="justify" vertical="center" wrapText="1"/>
    </xf>
    <xf numFmtId="0" fontId="5" fillId="11" borderId="0" xfId="0" applyFont="1" applyFill="1" applyAlignment="1" applyProtection="1">
      <alignment horizontal="center" vertical="center" wrapText="1"/>
      <protection hidden="1"/>
    </xf>
    <xf numFmtId="4" fontId="5" fillId="0" borderId="0" xfId="0" applyNumberFormat="1" applyFont="1" applyFill="1" applyAlignment="1" applyProtection="1">
      <alignment horizontal="center" vertical="center" wrapText="1"/>
      <protection hidden="1"/>
    </xf>
    <xf numFmtId="0" fontId="5" fillId="0" borderId="0" xfId="0" applyFont="1" applyFill="1" applyAlignment="1" applyProtection="1">
      <alignment horizontal="center" vertical="center" wrapText="1"/>
      <protection hidden="1"/>
    </xf>
    <xf numFmtId="20" fontId="8" fillId="0" borderId="0" xfId="0" applyNumberFormat="1" applyFont="1" applyFill="1" applyAlignment="1">
      <alignment horizontal="center" vertical="center" wrapText="1"/>
    </xf>
    <xf numFmtId="20" fontId="8" fillId="11" borderId="66" xfId="0" applyNumberFormat="1" applyFont="1" applyFill="1" applyBorder="1" applyAlignment="1">
      <alignment horizontal="center" vertical="center" wrapText="1"/>
    </xf>
    <xf numFmtId="20" fontId="8" fillId="4" borderId="38" xfId="0" applyNumberFormat="1" applyFont="1" applyFill="1" applyBorder="1" applyAlignment="1">
      <alignment horizontal="center" vertical="center" wrapText="1"/>
    </xf>
    <xf numFmtId="3" fontId="4" fillId="2" borderId="0" xfId="0" applyNumberFormat="1" applyFont="1" applyFill="1" applyAlignment="1" applyProtection="1">
      <alignment horizontal="center" vertical="center" wrapText="1"/>
      <protection locked="0"/>
    </xf>
    <xf numFmtId="0" fontId="4" fillId="2" borderId="75" xfId="0" applyFont="1" applyFill="1" applyBorder="1" applyAlignment="1" applyProtection="1">
      <alignment horizontal="center" vertical="center" textRotation="45" wrapText="1"/>
      <protection hidden="1"/>
    </xf>
    <xf numFmtId="0" fontId="4" fillId="19" borderId="0" xfId="0" applyFont="1" applyFill="1" applyAlignment="1" applyProtection="1">
      <alignment horizontal="center" vertical="center" wrapText="1"/>
      <protection hidden="1"/>
    </xf>
    <xf numFmtId="0" fontId="4" fillId="2" borderId="11" xfId="0" applyFont="1" applyFill="1" applyBorder="1" applyAlignment="1" applyProtection="1">
      <alignment horizontal="center" vertical="center" textRotation="45" wrapText="1"/>
      <protection hidden="1"/>
    </xf>
    <xf numFmtId="20" fontId="4" fillId="2" borderId="0" xfId="0" applyNumberFormat="1" applyFont="1" applyFill="1" applyAlignment="1" applyProtection="1">
      <alignment horizontal="center" vertical="center" wrapText="1"/>
      <protection hidden="1"/>
    </xf>
    <xf numFmtId="0" fontId="4" fillId="2" borderId="1" xfId="0" applyFont="1" applyFill="1" applyBorder="1" applyAlignment="1" applyProtection="1">
      <alignment horizontal="center" vertical="center" textRotation="45" wrapText="1"/>
      <protection hidden="1"/>
    </xf>
    <xf numFmtId="0" fontId="4" fillId="2" borderId="1" xfId="0" applyFont="1" applyFill="1" applyBorder="1" applyAlignment="1" applyProtection="1">
      <alignment vertical="center" wrapText="1"/>
      <protection locked="0"/>
    </xf>
    <xf numFmtId="183" fontId="9" fillId="6" borderId="61" xfId="0" applyNumberFormat="1" applyFont="1" applyFill="1" applyBorder="1" applyAlignment="1" applyProtection="1">
      <alignment horizontal="center" vertical="center" wrapText="1"/>
      <protection hidden="1"/>
    </xf>
    <xf numFmtId="181" fontId="9" fillId="6" borderId="88" xfId="0" applyNumberFormat="1" applyFont="1" applyFill="1" applyBorder="1" applyAlignment="1" applyProtection="1">
      <alignment horizontal="center" vertical="center" wrapText="1"/>
      <protection hidden="1"/>
    </xf>
    <xf numFmtId="0" fontId="8" fillId="2" borderId="102" xfId="0" applyFont="1" applyFill="1" applyBorder="1" applyAlignment="1">
      <alignment horizontal="justify" vertical="center" wrapText="1"/>
    </xf>
    <xf numFmtId="0" fontId="8" fillId="2" borderId="103" xfId="0" applyFont="1" applyFill="1" applyBorder="1" applyAlignment="1">
      <alignment horizontal="justify" vertical="center" wrapText="1"/>
    </xf>
    <xf numFmtId="0" fontId="8" fillId="2" borderId="104" xfId="0" applyFont="1" applyFill="1" applyBorder="1" applyAlignment="1">
      <alignment horizontal="justify" vertical="center" wrapText="1"/>
    </xf>
    <xf numFmtId="0" fontId="8" fillId="2" borderId="33" xfId="0" applyFont="1" applyFill="1" applyBorder="1" applyAlignment="1">
      <alignment horizontal="justify" vertical="center" wrapText="1"/>
    </xf>
    <xf numFmtId="0" fontId="8" fillId="2" borderId="35" xfId="0" applyFont="1" applyFill="1" applyBorder="1" applyAlignment="1">
      <alignment horizontal="justify" vertical="center" wrapText="1"/>
    </xf>
    <xf numFmtId="0" fontId="8" fillId="2" borderId="34" xfId="0" applyFont="1" applyFill="1" applyBorder="1" applyAlignment="1">
      <alignment horizontal="justify" vertical="center" wrapText="1"/>
    </xf>
    <xf numFmtId="20" fontId="27" fillId="2" borderId="96" xfId="0" applyNumberFormat="1" applyFont="1" applyFill="1" applyBorder="1" applyAlignment="1">
      <alignment horizontal="center" vertical="center" wrapText="1"/>
    </xf>
    <xf numFmtId="20" fontId="4" fillId="2" borderId="103" xfId="0" applyNumberFormat="1" applyFont="1" applyFill="1" applyBorder="1" applyAlignment="1">
      <alignment horizontal="center" vertical="center" wrapText="1"/>
    </xf>
    <xf numFmtId="20" fontId="4" fillId="2" borderId="98" xfId="0" applyNumberFormat="1" applyFont="1" applyFill="1" applyBorder="1" applyAlignment="1">
      <alignment horizontal="center" vertical="center" wrapText="1"/>
    </xf>
    <xf numFmtId="20" fontId="4" fillId="2" borderId="100" xfId="0" applyNumberFormat="1" applyFont="1" applyFill="1" applyBorder="1" applyAlignment="1">
      <alignment horizontal="center" vertical="center" wrapText="1"/>
    </xf>
    <xf numFmtId="20" fontId="4" fillId="2" borderId="31" xfId="0" applyNumberFormat="1" applyFont="1" applyFill="1" applyBorder="1" applyAlignment="1">
      <alignment horizontal="center" vertical="center" wrapText="1"/>
    </xf>
    <xf numFmtId="0" fontId="29" fillId="2" borderId="0" xfId="0" applyFont="1" applyFill="1" applyAlignment="1">
      <alignment horizontal="center" vertical="center" wrapText="1"/>
    </xf>
    <xf numFmtId="0" fontId="30" fillId="2" borderId="30" xfId="0" applyFont="1" applyFill="1" applyBorder="1" applyAlignment="1">
      <alignment horizontal="center" vertical="center" wrapText="1"/>
    </xf>
    <xf numFmtId="0" fontId="30" fillId="2" borderId="31" xfId="0" applyFont="1" applyFill="1" applyBorder="1" applyAlignment="1">
      <alignment horizontal="center" vertical="center" wrapText="1"/>
    </xf>
    <xf numFmtId="0" fontId="30" fillId="2" borderId="32" xfId="0" applyFont="1" applyFill="1" applyBorder="1" applyAlignment="1">
      <alignment horizontal="center" vertical="center" wrapText="1"/>
    </xf>
    <xf numFmtId="0" fontId="1" fillId="2" borderId="30" xfId="0" applyFont="1" applyFill="1" applyBorder="1" applyAlignment="1">
      <alignment horizontal="left" vertical="center" wrapText="1"/>
    </xf>
    <xf numFmtId="0" fontId="1" fillId="2" borderId="31" xfId="0" applyFont="1" applyFill="1" applyBorder="1" applyAlignment="1">
      <alignment horizontal="left" vertical="center" wrapText="1"/>
    </xf>
    <xf numFmtId="0" fontId="1" fillId="2" borderId="32" xfId="0" applyFont="1" applyFill="1" applyBorder="1" applyAlignment="1">
      <alignment horizontal="left" vertical="center" wrapText="1"/>
    </xf>
    <xf numFmtId="0" fontId="4" fillId="0" borderId="1" xfId="0" applyFont="1" applyFill="1" applyBorder="1" applyAlignment="1" applyProtection="1">
      <alignment vertical="center" wrapText="1"/>
      <protection locked="0"/>
    </xf>
    <xf numFmtId="0" fontId="0" fillId="2" borderId="0" xfId="0" applyFill="1" applyAlignment="1"/>
    <xf numFmtId="0" fontId="8" fillId="2" borderId="98" xfId="0" applyFont="1" applyFill="1" applyBorder="1" applyAlignment="1">
      <alignment horizontal="justify" vertical="center" wrapText="1"/>
    </xf>
    <xf numFmtId="0" fontId="8" fillId="2" borderId="99" xfId="0" applyFont="1" applyFill="1" applyBorder="1" applyAlignment="1">
      <alignment horizontal="justify" vertical="center" wrapText="1"/>
    </xf>
    <xf numFmtId="0" fontId="8" fillId="2" borderId="100" xfId="0" applyFont="1" applyFill="1" applyBorder="1" applyAlignment="1">
      <alignment horizontal="justify" vertical="center" wrapText="1"/>
    </xf>
    <xf numFmtId="20" fontId="8" fillId="2" borderId="98" xfId="0" applyNumberFormat="1" applyFont="1" applyFill="1" applyBorder="1" applyAlignment="1">
      <alignment horizontal="center" vertical="center" wrapText="1"/>
    </xf>
    <xf numFmtId="20" fontId="8" fillId="2" borderId="99" xfId="0" applyNumberFormat="1" applyFont="1" applyFill="1" applyBorder="1" applyAlignment="1">
      <alignment horizontal="center" vertical="center" wrapText="1"/>
    </xf>
    <xf numFmtId="20" fontId="8" fillId="2" borderId="100" xfId="0" applyNumberFormat="1" applyFont="1" applyFill="1" applyBorder="1" applyAlignment="1">
      <alignment horizontal="center" vertical="center" wrapText="1"/>
    </xf>
    <xf numFmtId="20" fontId="27" fillId="2" borderId="95" xfId="0" applyNumberFormat="1" applyFont="1" applyFill="1" applyBorder="1" applyAlignment="1">
      <alignment horizontal="center" vertical="center" wrapText="1"/>
    </xf>
    <xf numFmtId="20" fontId="8" fillId="2" borderId="65" xfId="0" applyNumberFormat="1" applyFont="1" applyFill="1" applyBorder="1" applyAlignment="1">
      <alignment horizontal="center" vertical="center" wrapText="1"/>
    </xf>
    <xf numFmtId="20" fontId="8" fillId="2" borderId="96" xfId="0" applyNumberFormat="1" applyFont="1" applyFill="1" applyBorder="1" applyAlignment="1">
      <alignment horizontal="center" vertical="center" wrapText="1"/>
    </xf>
    <xf numFmtId="20" fontId="8" fillId="2" borderId="95" xfId="0" applyNumberFormat="1" applyFont="1" applyFill="1" applyBorder="1" applyAlignment="1">
      <alignment horizontal="center" vertical="center" wrapText="1"/>
    </xf>
    <xf numFmtId="20" fontId="8" fillId="2" borderId="48" xfId="0" applyNumberFormat="1" applyFont="1" applyFill="1" applyBorder="1" applyAlignment="1">
      <alignment horizontal="center" vertical="center" wrapText="1"/>
    </xf>
    <xf numFmtId="20" fontId="8" fillId="2" borderId="49" xfId="0" applyNumberFormat="1" applyFont="1" applyFill="1" applyBorder="1" applyAlignment="1">
      <alignment horizontal="center" vertical="center" wrapText="1"/>
    </xf>
    <xf numFmtId="20" fontId="8" fillId="2" borderId="50" xfId="0" applyNumberFormat="1" applyFont="1" applyFill="1" applyBorder="1" applyAlignment="1">
      <alignment horizontal="center" vertical="center" wrapText="1"/>
    </xf>
    <xf numFmtId="0" fontId="29" fillId="2" borderId="30" xfId="0" applyFont="1" applyFill="1" applyBorder="1" applyAlignment="1">
      <alignment horizontal="center" vertical="center"/>
    </xf>
    <xf numFmtId="0" fontId="29" fillId="2" borderId="31" xfId="0" applyFont="1" applyFill="1" applyBorder="1" applyAlignment="1">
      <alignment horizontal="center" vertical="center"/>
    </xf>
    <xf numFmtId="0" fontId="29" fillId="2" borderId="32" xfId="0" applyFont="1" applyFill="1" applyBorder="1" applyAlignment="1">
      <alignment horizontal="center" vertical="center"/>
    </xf>
    <xf numFmtId="0" fontId="29" fillId="2" borderId="31" xfId="0" applyFont="1" applyFill="1" applyBorder="1" applyAlignment="1">
      <alignment vertical="center" wrapText="1"/>
    </xf>
    <xf numFmtId="0" fontId="30" fillId="2" borderId="0" xfId="0" applyFont="1" applyFill="1" applyAlignment="1">
      <alignment vertical="center" wrapText="1"/>
    </xf>
    <xf numFmtId="0" fontId="1" fillId="2" borderId="0" xfId="0" applyFont="1" applyFill="1" applyAlignment="1">
      <alignment vertical="center" wrapText="1"/>
    </xf>
    <xf numFmtId="0" fontId="0" fillId="0" borderId="31" xfId="0" applyFont="1" applyBorder="1" applyAlignment="1">
      <alignment horizontal="center"/>
    </xf>
    <xf numFmtId="0" fontId="31" fillId="2" borderId="30" xfId="0" applyFont="1" applyFill="1" applyBorder="1" applyAlignment="1">
      <alignment horizontal="center" vertical="center" wrapText="1"/>
    </xf>
    <xf numFmtId="0" fontId="31" fillId="2" borderId="31" xfId="0" applyFont="1" applyFill="1" applyBorder="1" applyAlignment="1">
      <alignment horizontal="center" vertical="center" wrapText="1"/>
    </xf>
    <xf numFmtId="0" fontId="31" fillId="2" borderId="32" xfId="0" applyFont="1" applyFill="1" applyBorder="1" applyAlignment="1">
      <alignment horizontal="center" vertical="center" wrapText="1"/>
    </xf>
    <xf numFmtId="0" fontId="20" fillId="10" borderId="118" xfId="0" applyFont="1" applyFill="1" applyBorder="1" applyAlignment="1" applyProtection="1">
      <alignment horizontal="center" vertical="center" wrapText="1"/>
      <protection hidden="1"/>
    </xf>
    <xf numFmtId="0" fontId="12" fillId="10" borderId="60" xfId="0" applyFont="1" applyFill="1" applyBorder="1" applyAlignment="1" applyProtection="1">
      <alignment horizontal="center" vertical="center" wrapText="1"/>
      <protection hidden="1"/>
    </xf>
    <xf numFmtId="0" fontId="15" fillId="0" borderId="0" xfId="0" applyFont="1" applyFill="1" applyAlignment="1">
      <alignment vertical="center" wrapText="1"/>
    </xf>
    <xf numFmtId="0" fontId="4" fillId="0" borderId="0" xfId="0" applyFont="1" applyAlignment="1"/>
    <xf numFmtId="0" fontId="4" fillId="0" borderId="0" xfId="0" applyFont="1" applyAlignment="1" applyProtection="1">
      <alignment horizontal="center" vertical="center" wrapText="1"/>
      <protection hidden="1"/>
    </xf>
    <xf numFmtId="4" fontId="14" fillId="2" borderId="0" xfId="0" applyNumberFormat="1" applyFont="1" applyFill="1" applyAlignment="1" applyProtection="1">
      <alignment horizontal="center" vertical="center" wrapText="1"/>
      <protection hidden="1"/>
    </xf>
    <xf numFmtId="0" fontId="32" fillId="2" borderId="30" xfId="0" applyFont="1" applyFill="1" applyBorder="1" applyAlignment="1">
      <alignment horizontal="justify" vertical="center" wrapText="1"/>
    </xf>
    <xf numFmtId="0" fontId="32" fillId="2" borderId="31" xfId="0" applyFont="1" applyFill="1" applyBorder="1" applyAlignment="1">
      <alignment horizontal="justify" vertical="center" wrapText="1"/>
    </xf>
    <xf numFmtId="0" fontId="32" fillId="2" borderId="32" xfId="0" applyFont="1" applyFill="1" applyBorder="1" applyAlignment="1">
      <alignment horizontal="justify" vertical="center" wrapText="1"/>
    </xf>
    <xf numFmtId="0" fontId="32" fillId="2" borderId="39"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33" fillId="4" borderId="40" xfId="0" applyFont="1" applyFill="1" applyBorder="1" applyAlignment="1">
      <alignment horizontal="center" vertical="center" wrapText="1"/>
    </xf>
    <xf numFmtId="0" fontId="33" fillId="4" borderId="66" xfId="0" applyFont="1" applyFill="1" applyBorder="1" applyAlignment="1">
      <alignment horizontal="center" vertical="center" wrapText="1"/>
    </xf>
    <xf numFmtId="20" fontId="33" fillId="4" borderId="66" xfId="0" applyNumberFormat="1" applyFont="1" applyFill="1" applyBorder="1" applyAlignment="1">
      <alignment horizontal="center" vertical="center" wrapText="1"/>
    </xf>
    <xf numFmtId="20" fontId="14" fillId="0" borderId="0" xfId="0" applyNumberFormat="1" applyFont="1" applyFill="1" applyBorder="1" applyAlignment="1">
      <alignment horizontal="center" vertical="center" wrapText="1"/>
    </xf>
    <xf numFmtId="0" fontId="33" fillId="11" borderId="125" xfId="0" applyFont="1" applyFill="1" applyBorder="1" applyAlignment="1">
      <alignment horizontal="center" vertical="center" wrapText="1"/>
    </xf>
    <xf numFmtId="20" fontId="33" fillId="11" borderId="37" xfId="0" applyNumberFormat="1" applyFont="1" applyFill="1" applyBorder="1" applyAlignment="1">
      <alignment horizontal="center" vertical="center" wrapText="1"/>
    </xf>
    <xf numFmtId="20" fontId="33" fillId="20" borderId="125" xfId="0" applyNumberFormat="1" applyFont="1" applyFill="1" applyBorder="1" applyAlignment="1">
      <alignment horizontal="center" vertical="center" wrapText="1"/>
    </xf>
    <xf numFmtId="20" fontId="33" fillId="20" borderId="37" xfId="0" applyNumberFormat="1" applyFont="1" applyFill="1" applyBorder="1" applyAlignment="1">
      <alignment horizontal="center" vertical="center" wrapText="1"/>
    </xf>
    <xf numFmtId="20" fontId="33" fillId="4" borderId="114" xfId="0" applyNumberFormat="1" applyFont="1" applyFill="1" applyBorder="1" applyAlignment="1">
      <alignment horizontal="center" vertical="center" wrapText="1"/>
    </xf>
    <xf numFmtId="20" fontId="33" fillId="4" borderId="113" xfId="0" applyNumberFormat="1" applyFont="1" applyFill="1" applyBorder="1" applyAlignment="1">
      <alignment horizontal="center" vertical="center" wrapText="1"/>
    </xf>
    <xf numFmtId="20" fontId="29" fillId="4" borderId="113" xfId="0" applyNumberFormat="1" applyFont="1" applyFill="1" applyBorder="1" applyAlignment="1">
      <alignment horizontal="center" vertical="center" wrapText="1"/>
    </xf>
    <xf numFmtId="20" fontId="33" fillId="11" borderId="114" xfId="0" applyNumberFormat="1" applyFont="1" applyFill="1" applyBorder="1" applyAlignment="1">
      <alignment horizontal="center" vertical="center" wrapText="1"/>
    </xf>
    <xf numFmtId="20" fontId="33" fillId="11" borderId="113" xfId="0" applyNumberFormat="1" applyFont="1" applyFill="1" applyBorder="1" applyAlignment="1">
      <alignment horizontal="center" vertical="center" wrapText="1"/>
    </xf>
    <xf numFmtId="20" fontId="29" fillId="11" borderId="113" xfId="0" applyNumberFormat="1" applyFont="1" applyFill="1" applyBorder="1" applyAlignment="1">
      <alignment horizontal="center" vertical="center" wrapText="1"/>
    </xf>
    <xf numFmtId="20" fontId="34" fillId="11" borderId="113" xfId="0" applyNumberFormat="1" applyFont="1" applyFill="1" applyBorder="1" applyAlignment="1">
      <alignment horizontal="center" vertical="center" wrapText="1"/>
    </xf>
    <xf numFmtId="20" fontId="34" fillId="4" borderId="113" xfId="0" applyNumberFormat="1" applyFont="1" applyFill="1" applyBorder="1" applyAlignment="1">
      <alignment horizontal="center" vertical="center" wrapText="1"/>
    </xf>
    <xf numFmtId="20" fontId="35" fillId="0" borderId="0" xfId="0" applyNumberFormat="1" applyFont="1" applyFill="1" applyBorder="1" applyAlignment="1">
      <alignment horizontal="center" vertical="center" wrapText="1"/>
    </xf>
    <xf numFmtId="20" fontId="33" fillId="4" borderId="44" xfId="0" applyNumberFormat="1" applyFont="1" applyFill="1" applyBorder="1" applyAlignment="1">
      <alignment horizontal="center" vertical="center" wrapText="1"/>
    </xf>
    <xf numFmtId="20" fontId="33" fillId="4" borderId="38" xfId="0" applyNumberFormat="1" applyFont="1" applyFill="1" applyBorder="1" applyAlignment="1">
      <alignment horizontal="center" vertical="center" wrapText="1"/>
    </xf>
    <xf numFmtId="20" fontId="33" fillId="0" borderId="101" xfId="0" applyNumberFormat="1" applyFont="1" applyFill="1" applyBorder="1" applyAlignment="1">
      <alignment horizontal="center" vertical="center" wrapText="1"/>
    </xf>
    <xf numFmtId="20" fontId="33" fillId="0" borderId="0" xfId="0" applyNumberFormat="1" applyFont="1" applyFill="1" applyBorder="1" applyAlignment="1">
      <alignment horizontal="center" vertical="center" wrapText="1"/>
    </xf>
    <xf numFmtId="20" fontId="33" fillId="0" borderId="128" xfId="0" applyNumberFormat="1" applyFont="1" applyFill="1" applyBorder="1" applyAlignment="1">
      <alignment horizontal="center" vertical="center" wrapText="1"/>
    </xf>
    <xf numFmtId="20" fontId="33" fillId="0" borderId="0" xfId="0" applyNumberFormat="1" applyFont="1" applyFill="1" applyAlignment="1">
      <alignment horizontal="center" vertical="center" wrapText="1"/>
    </xf>
    <xf numFmtId="20" fontId="35" fillId="0" borderId="0" xfId="0" applyNumberFormat="1" applyFont="1" applyFill="1" applyAlignment="1">
      <alignment horizontal="center" vertical="center" wrapText="1"/>
    </xf>
    <xf numFmtId="0" fontId="29" fillId="2" borderId="0" xfId="0" applyFont="1" applyFill="1" applyBorder="1" applyAlignment="1">
      <alignment horizontal="center" vertical="center" wrapText="1"/>
    </xf>
    <xf numFmtId="0" fontId="36" fillId="0" borderId="0" xfId="0" applyFont="1" applyAlignment="1"/>
    <xf numFmtId="0" fontId="34" fillId="2" borderId="30" xfId="0" applyFont="1" applyFill="1" applyBorder="1" applyAlignment="1">
      <alignment horizontal="justify" vertical="center" wrapText="1"/>
    </xf>
    <xf numFmtId="0" fontId="34" fillId="2" borderId="31" xfId="0" applyFont="1" applyFill="1" applyBorder="1" applyAlignment="1">
      <alignment horizontal="justify" vertical="center" wrapText="1"/>
    </xf>
    <xf numFmtId="0" fontId="34" fillId="2" borderId="32" xfId="0" applyFont="1" applyFill="1" applyBorder="1" applyAlignment="1">
      <alignment horizontal="justify" vertical="center" wrapText="1"/>
    </xf>
    <xf numFmtId="0" fontId="34" fillId="0" borderId="30" xfId="0" applyFont="1" applyBorder="1" applyAlignment="1">
      <alignment horizontal="justify" vertical="center" wrapText="1"/>
    </xf>
    <xf numFmtId="0" fontId="34" fillId="0" borderId="31" xfId="0" applyFont="1" applyBorder="1" applyAlignment="1">
      <alignment horizontal="justify" vertical="center" wrapText="1"/>
    </xf>
    <xf numFmtId="0" fontId="34" fillId="0" borderId="32" xfId="0" applyFont="1" applyBorder="1" applyAlignment="1">
      <alignment horizontal="justify" vertical="center" wrapText="1"/>
    </xf>
    <xf numFmtId="0" fontId="34" fillId="2" borderId="0" xfId="0" applyFont="1" applyFill="1" applyBorder="1" applyAlignment="1">
      <alignment horizontal="center" vertical="center" wrapText="1"/>
    </xf>
    <xf numFmtId="0" fontId="34" fillId="2" borderId="51" xfId="0" applyFont="1" applyFill="1" applyBorder="1" applyAlignment="1">
      <alignment horizontal="justify" vertical="center" wrapText="1"/>
    </xf>
    <xf numFmtId="0" fontId="34" fillId="2" borderId="52" xfId="0" applyFont="1" applyFill="1" applyBorder="1" applyAlignment="1">
      <alignment horizontal="justify" vertical="center" wrapText="1"/>
    </xf>
    <xf numFmtId="0" fontId="34" fillId="2" borderId="53" xfId="0" applyFont="1" applyFill="1" applyBorder="1" applyAlignment="1">
      <alignment horizontal="justify" vertical="center" wrapText="1"/>
    </xf>
    <xf numFmtId="0" fontId="34" fillId="2" borderId="102" xfId="0" applyFont="1" applyFill="1" applyBorder="1" applyAlignment="1">
      <alignment horizontal="justify" vertical="center" wrapText="1"/>
    </xf>
    <xf numFmtId="0" fontId="34" fillId="2" borderId="103" xfId="0" applyFont="1" applyFill="1" applyBorder="1" applyAlignment="1">
      <alignment horizontal="justify" vertical="center" wrapText="1"/>
    </xf>
    <xf numFmtId="0" fontId="34" fillId="2" borderId="104" xfId="0" applyFont="1" applyFill="1" applyBorder="1" applyAlignment="1">
      <alignment horizontal="justify" vertical="center" wrapText="1"/>
    </xf>
    <xf numFmtId="20" fontId="32" fillId="11" borderId="125" xfId="0" applyNumberFormat="1" applyFont="1" applyFill="1" applyBorder="1" applyAlignment="1">
      <alignment horizontal="center" vertical="center" wrapText="1"/>
    </xf>
    <xf numFmtId="20" fontId="32" fillId="11" borderId="129" xfId="0" applyNumberFormat="1" applyFont="1" applyFill="1" applyBorder="1" applyAlignment="1">
      <alignment horizontal="center" vertical="center" wrapText="1"/>
    </xf>
    <xf numFmtId="0" fontId="33" fillId="0" borderId="0" xfId="0" applyFont="1" applyAlignment="1"/>
    <xf numFmtId="20" fontId="32" fillId="4" borderId="114" xfId="0" applyNumberFormat="1" applyFont="1" applyFill="1" applyBorder="1" applyAlignment="1">
      <alignment horizontal="center" vertical="center" wrapText="1"/>
    </xf>
    <xf numFmtId="20" fontId="32" fillId="4" borderId="115" xfId="0" applyNumberFormat="1" applyFont="1" applyFill="1" applyBorder="1" applyAlignment="1">
      <alignment horizontal="center" vertical="center" wrapText="1"/>
    </xf>
    <xf numFmtId="20" fontId="32" fillId="20" borderId="44" xfId="0" applyNumberFormat="1" applyFont="1" applyFill="1" applyBorder="1" applyAlignment="1">
      <alignment horizontal="center" vertical="center" wrapText="1"/>
    </xf>
    <xf numFmtId="20" fontId="32" fillId="20" borderId="47" xfId="0" applyNumberFormat="1" applyFont="1" applyFill="1" applyBorder="1" applyAlignment="1">
      <alignment horizontal="center" vertical="center" wrapText="1"/>
    </xf>
    <xf numFmtId="0" fontId="30" fillId="10" borderId="1" xfId="0" applyFont="1" applyFill="1" applyBorder="1" applyAlignment="1" applyProtection="1">
      <alignment horizontal="center" vertical="center" wrapText="1"/>
      <protection hidden="1"/>
    </xf>
    <xf numFmtId="0" fontId="3" fillId="10" borderId="1" xfId="0" applyFont="1" applyFill="1" applyBorder="1" applyAlignment="1" applyProtection="1">
      <alignment horizontal="center" vertical="center" wrapText="1"/>
      <protection hidden="1"/>
    </xf>
    <xf numFmtId="0" fontId="37" fillId="10" borderId="1" xfId="0" applyFont="1" applyFill="1" applyBorder="1" applyAlignment="1" applyProtection="1">
      <alignment horizontal="center" vertical="center" wrapText="1"/>
      <protection hidden="1"/>
    </xf>
    <xf numFmtId="4" fontId="37" fillId="10" borderId="1" xfId="0" applyNumberFormat="1" applyFont="1" applyFill="1" applyBorder="1" applyAlignment="1" applyProtection="1">
      <alignment horizontal="center" vertical="center" wrapText="1"/>
      <protection hidden="1"/>
    </xf>
    <xf numFmtId="0" fontId="3" fillId="10" borderId="5" xfId="0" applyFont="1" applyFill="1" applyBorder="1" applyAlignment="1" applyProtection="1">
      <alignment horizontal="center" vertical="center" wrapText="1"/>
      <protection hidden="1"/>
    </xf>
    <xf numFmtId="0" fontId="2" fillId="10" borderId="1" xfId="0" applyFont="1" applyFill="1" applyBorder="1" applyAlignment="1" applyProtection="1">
      <alignment horizontal="center" vertical="center" wrapText="1"/>
      <protection hidden="1"/>
    </xf>
    <xf numFmtId="0" fontId="3" fillId="10" borderId="11" xfId="0" applyFont="1" applyFill="1" applyBorder="1" applyAlignment="1" applyProtection="1">
      <alignment horizontal="center" vertical="center" wrapText="1"/>
      <protection hidden="1"/>
    </xf>
    <xf numFmtId="0" fontId="14" fillId="5" borderId="1" xfId="0" applyFont="1" applyFill="1" applyBorder="1" applyAlignment="1" applyProtection="1">
      <alignment horizontal="center" vertical="center" textRotation="45" wrapText="1"/>
      <protection hidden="1"/>
    </xf>
    <xf numFmtId="0" fontId="14" fillId="5" borderId="1" xfId="0" applyFont="1" applyFill="1" applyBorder="1" applyAlignment="1" applyProtection="1">
      <alignment horizontal="left" vertical="center" wrapText="1"/>
      <protection locked="0"/>
    </xf>
    <xf numFmtId="183" fontId="14" fillId="5" borderId="1" xfId="0" applyNumberFormat="1" applyFont="1" applyFill="1" applyBorder="1" applyAlignment="1" applyProtection="1">
      <alignment horizontal="center" vertical="center" wrapText="1"/>
      <protection locked="0"/>
    </xf>
    <xf numFmtId="4" fontId="14" fillId="5" borderId="1" xfId="0" applyNumberFormat="1" applyFont="1" applyFill="1" applyBorder="1" applyAlignment="1" applyProtection="1">
      <alignment horizontal="center" vertical="center" wrapText="1"/>
      <protection locked="0"/>
    </xf>
    <xf numFmtId="4" fontId="4" fillId="5" borderId="1" xfId="0" applyNumberFormat="1" applyFont="1" applyFill="1" applyBorder="1" applyAlignment="1" applyProtection="1">
      <alignment horizontal="center" vertical="center" wrapText="1"/>
      <protection hidden="1"/>
    </xf>
    <xf numFmtId="183" fontId="14" fillId="0" borderId="1" xfId="0" applyNumberFormat="1" applyFont="1" applyFill="1" applyBorder="1" applyAlignment="1" applyProtection="1">
      <alignment horizontal="center" vertical="center" wrapText="1"/>
      <protection locked="0"/>
    </xf>
    <xf numFmtId="0" fontId="14" fillId="0" borderId="1" xfId="0" applyFont="1" applyBorder="1" applyAlignment="1" applyProtection="1">
      <alignment horizontal="center" vertical="center" textRotation="45" wrapText="1"/>
      <protection hidden="1"/>
    </xf>
    <xf numFmtId="0" fontId="14" fillId="0" borderId="1" xfId="0" applyFont="1" applyBorder="1" applyAlignment="1" applyProtection="1">
      <alignment horizontal="left" vertical="center" wrapText="1"/>
      <protection locked="0"/>
    </xf>
    <xf numFmtId="183" fontId="14" fillId="0" borderId="1" xfId="0" applyNumberFormat="1" applyFont="1" applyBorder="1" applyAlignment="1" applyProtection="1">
      <alignment horizontal="center" vertical="center" wrapText="1"/>
      <protection locked="0"/>
    </xf>
    <xf numFmtId="4" fontId="14" fillId="0" borderId="1" xfId="0" applyNumberFormat="1" applyFont="1" applyBorder="1" applyAlignment="1" applyProtection="1">
      <alignment horizontal="center" vertical="center" wrapText="1"/>
      <protection locked="0"/>
    </xf>
    <xf numFmtId="183" fontId="4" fillId="0" borderId="1" xfId="0" applyNumberFormat="1" applyFont="1" applyBorder="1" applyAlignment="1" applyProtection="1">
      <alignment horizontal="center" vertical="center" wrapText="1"/>
      <protection hidden="1"/>
    </xf>
    <xf numFmtId="4" fontId="4" fillId="0" borderId="1" xfId="0" applyNumberFormat="1" applyFont="1" applyBorder="1" applyAlignment="1" applyProtection="1">
      <alignment horizontal="center" vertical="center" wrapText="1"/>
      <protection locked="0"/>
    </xf>
    <xf numFmtId="4" fontId="4" fillId="0" borderId="1" xfId="0" applyNumberFormat="1" applyFont="1" applyBorder="1" applyAlignment="1" applyProtection="1">
      <alignment horizontal="center" vertical="center" wrapText="1"/>
      <protection hidden="1"/>
    </xf>
    <xf numFmtId="0" fontId="14" fillId="21" borderId="1" xfId="0" applyFont="1" applyFill="1" applyBorder="1" applyAlignment="1" applyProtection="1">
      <alignment horizontal="left" vertical="center" wrapText="1"/>
      <protection locked="0"/>
    </xf>
    <xf numFmtId="0" fontId="14" fillId="2" borderId="1" xfId="0" applyFont="1" applyFill="1" applyBorder="1" applyAlignment="1" applyProtection="1">
      <alignment horizontal="center" vertical="center" textRotation="45" wrapText="1"/>
      <protection hidden="1"/>
    </xf>
    <xf numFmtId="0" fontId="14" fillId="2" borderId="1" xfId="0" applyFont="1" applyFill="1" applyBorder="1" applyAlignment="1" applyProtection="1">
      <alignment vertical="center" wrapText="1"/>
      <protection locked="0"/>
    </xf>
    <xf numFmtId="183" fontId="14" fillId="2" borderId="1" xfId="0" applyNumberFormat="1" applyFont="1" applyFill="1" applyBorder="1" applyAlignment="1" applyProtection="1">
      <alignment horizontal="center" vertical="center" wrapText="1"/>
      <protection locked="0"/>
    </xf>
    <xf numFmtId="4" fontId="14" fillId="2" borderId="1" xfId="0" applyNumberFormat="1" applyFont="1" applyFill="1" applyBorder="1" applyAlignment="1" applyProtection="1">
      <alignment horizontal="center" vertical="center" wrapText="1"/>
      <protection locked="0"/>
    </xf>
    <xf numFmtId="4" fontId="4" fillId="2" borderId="1" xfId="0" applyNumberFormat="1" applyFont="1" applyFill="1" applyBorder="1" applyAlignment="1" applyProtection="1">
      <alignment horizontal="center" vertical="center" wrapText="1"/>
      <protection hidden="1"/>
    </xf>
    <xf numFmtId="0" fontId="14" fillId="2" borderId="0" xfId="0" applyFont="1" applyFill="1" applyAlignment="1" applyProtection="1">
      <alignment horizontal="center" vertical="center" textRotation="45" wrapText="1"/>
      <protection hidden="1"/>
    </xf>
    <xf numFmtId="0" fontId="14" fillId="2" borderId="54" xfId="0" applyFont="1" applyFill="1" applyBorder="1" applyAlignment="1" applyProtection="1">
      <alignment vertical="center" wrapText="1"/>
      <protection hidden="1"/>
    </xf>
    <xf numFmtId="4" fontId="14" fillId="2" borderId="54" xfId="0" applyNumberFormat="1" applyFont="1" applyFill="1" applyBorder="1" applyAlignment="1" applyProtection="1">
      <alignment horizontal="center" vertical="center" wrapText="1"/>
      <protection hidden="1"/>
    </xf>
    <xf numFmtId="4" fontId="14" fillId="2" borderId="54" xfId="0" applyNumberFormat="1" applyFont="1" applyFill="1" applyBorder="1" applyAlignment="1" applyProtection="1">
      <alignment vertical="center" wrapText="1"/>
      <protection hidden="1"/>
    </xf>
    <xf numFmtId="0" fontId="5" fillId="10" borderId="130" xfId="0" applyFont="1" applyFill="1" applyBorder="1" applyAlignment="1" applyProtection="1">
      <alignment horizontal="center" vertical="center" wrapText="1"/>
      <protection hidden="1"/>
    </xf>
    <xf numFmtId="0" fontId="5" fillId="10" borderId="131" xfId="0" applyFont="1" applyFill="1" applyBorder="1" applyAlignment="1" applyProtection="1">
      <alignment horizontal="center" vertical="center" wrapText="1"/>
      <protection hidden="1"/>
    </xf>
    <xf numFmtId="0" fontId="20" fillId="10" borderId="131" xfId="0" applyFont="1" applyFill="1" applyBorder="1" applyAlignment="1" applyProtection="1">
      <alignment horizontal="center" vertical="center" wrapText="1"/>
      <protection hidden="1"/>
    </xf>
    <xf numFmtId="0" fontId="37" fillId="10" borderId="89" xfId="0" applyFont="1" applyFill="1" applyBorder="1" applyAlignment="1" applyProtection="1">
      <alignment horizontal="center" vertical="center" wrapText="1"/>
      <protection hidden="1"/>
    </xf>
    <xf numFmtId="0" fontId="5" fillId="10" borderId="89" xfId="0" applyFont="1" applyFill="1" applyBorder="1" applyAlignment="1" applyProtection="1">
      <alignment horizontal="center" vertical="center" wrapText="1"/>
      <protection hidden="1"/>
    </xf>
    <xf numFmtId="0" fontId="12" fillId="10" borderId="132" xfId="0" applyFont="1" applyFill="1" applyBorder="1" applyAlignment="1" applyProtection="1">
      <alignment horizontal="center" vertical="center" wrapText="1"/>
      <protection hidden="1"/>
    </xf>
    <xf numFmtId="0" fontId="12" fillId="10" borderId="133" xfId="0" applyFont="1" applyFill="1" applyBorder="1" applyAlignment="1" applyProtection="1">
      <alignment horizontal="center" vertical="center" wrapText="1"/>
      <protection hidden="1"/>
    </xf>
    <xf numFmtId="4" fontId="38" fillId="6" borderId="89" xfId="0" applyNumberFormat="1" applyFont="1" applyFill="1" applyBorder="1" applyAlignment="1" applyProtection="1">
      <alignment horizontal="left" vertical="center" wrapText="1"/>
      <protection hidden="1"/>
    </xf>
    <xf numFmtId="4" fontId="38" fillId="6" borderId="89" xfId="0" applyNumberFormat="1" applyFont="1" applyFill="1" applyBorder="1" applyAlignment="1" applyProtection="1">
      <alignment horizontal="center" vertical="center" wrapText="1"/>
      <protection hidden="1"/>
    </xf>
    <xf numFmtId="183" fontId="38" fillId="6" borderId="89" xfId="0" applyNumberFormat="1" applyFont="1" applyFill="1" applyBorder="1" applyAlignment="1" applyProtection="1">
      <alignment horizontal="center" vertical="center" wrapText="1"/>
      <protection hidden="1"/>
    </xf>
    <xf numFmtId="20" fontId="27" fillId="11" borderId="98" xfId="0" applyNumberFormat="1" applyFont="1" applyFill="1" applyBorder="1" applyAlignment="1">
      <alignment horizontal="center" vertical="center" wrapText="1"/>
    </xf>
    <xf numFmtId="20" fontId="1" fillId="11" borderId="134" xfId="0" applyNumberFormat="1" applyFont="1" applyFill="1" applyBorder="1" applyAlignment="1">
      <alignment horizontal="center" vertical="center" wrapText="1"/>
    </xf>
    <xf numFmtId="20" fontId="4" fillId="11" borderId="95" xfId="0" applyNumberFormat="1" applyFont="1" applyFill="1" applyBorder="1" applyAlignment="1">
      <alignment horizontal="center" vertical="center" wrapText="1"/>
    </xf>
    <xf numFmtId="20" fontId="4" fillId="11" borderId="135" xfId="0" applyNumberFormat="1" applyFont="1" applyFill="1" applyBorder="1" applyAlignment="1">
      <alignment horizontal="center" vertical="center" wrapText="1"/>
    </xf>
    <xf numFmtId="20" fontId="4" fillId="4" borderId="95" xfId="0" applyNumberFormat="1" applyFont="1" applyFill="1" applyBorder="1" applyAlignment="1">
      <alignment horizontal="center" vertical="center" wrapText="1"/>
    </xf>
    <xf numFmtId="20" fontId="4" fillId="4" borderId="135" xfId="0" applyNumberFormat="1" applyFont="1" applyFill="1" applyBorder="1" applyAlignment="1">
      <alignment horizontal="center" vertical="center" wrapText="1"/>
    </xf>
    <xf numFmtId="20" fontId="4" fillId="4" borderId="65" xfId="0" applyNumberFormat="1" applyFont="1" applyFill="1" applyBorder="1" applyAlignment="1">
      <alignment horizontal="center" vertical="center" wrapText="1"/>
    </xf>
    <xf numFmtId="20" fontId="4" fillId="4" borderId="96" xfId="0" applyNumberFormat="1" applyFont="1" applyFill="1" applyBorder="1" applyAlignment="1">
      <alignment horizontal="center" vertical="center" wrapText="1"/>
    </xf>
    <xf numFmtId="20" fontId="27" fillId="11" borderId="95" xfId="0" applyNumberFormat="1" applyFont="1" applyFill="1" applyBorder="1" applyAlignment="1">
      <alignment horizontal="center" vertical="center" wrapText="1"/>
    </xf>
    <xf numFmtId="20" fontId="1" fillId="11" borderId="135" xfId="0" applyNumberFormat="1" applyFont="1" applyFill="1" applyBorder="1" applyAlignment="1">
      <alignment horizontal="center" vertical="center" wrapText="1"/>
    </xf>
    <xf numFmtId="20" fontId="1" fillId="4" borderId="135" xfId="0" applyNumberFormat="1" applyFont="1" applyFill="1" applyBorder="1" applyAlignment="1">
      <alignment horizontal="center" vertical="center" wrapText="1"/>
    </xf>
    <xf numFmtId="20" fontId="4" fillId="11" borderId="126" xfId="0" applyNumberFormat="1" applyFont="1" applyFill="1" applyBorder="1" applyAlignment="1">
      <alignment horizontal="center" vertical="center" wrapText="1"/>
    </xf>
    <xf numFmtId="20" fontId="4" fillId="11" borderId="45" xfId="0" applyNumberFormat="1" applyFont="1" applyFill="1" applyBorder="1" applyAlignment="1">
      <alignment horizontal="center" vertical="center" wrapText="1"/>
    </xf>
    <xf numFmtId="0" fontId="17" fillId="9" borderId="62" xfId="0" applyFont="1" applyFill="1" applyBorder="1" applyAlignment="1">
      <alignment horizontal="center" vertical="center" wrapText="1"/>
    </xf>
    <xf numFmtId="0" fontId="17" fillId="9" borderId="63" xfId="0" applyFont="1" applyFill="1" applyBorder="1" applyAlignment="1">
      <alignment horizontal="center" vertical="center" wrapText="1"/>
    </xf>
    <xf numFmtId="0" fontId="17" fillId="9" borderId="64" xfId="0" applyFont="1" applyFill="1" applyBorder="1" applyAlignment="1">
      <alignment horizontal="center" vertical="center" wrapText="1"/>
    </xf>
    <xf numFmtId="20" fontId="8" fillId="2" borderId="36" xfId="0" applyNumberFormat="1" applyFont="1" applyFill="1" applyBorder="1" applyAlignment="1">
      <alignment horizontal="center" vertical="center" wrapText="1"/>
    </xf>
    <xf numFmtId="20" fontId="4" fillId="11" borderId="65" xfId="0" applyNumberFormat="1" applyFont="1" applyFill="1" applyBorder="1" applyAlignment="1">
      <alignment horizontal="center"/>
    </xf>
    <xf numFmtId="20" fontId="4" fillId="0" borderId="0" xfId="0" applyNumberFormat="1" applyFont="1" applyAlignment="1"/>
    <xf numFmtId="20" fontId="4" fillId="11" borderId="98" xfId="0" applyNumberFormat="1" applyFont="1" applyFill="1" applyBorder="1" applyAlignment="1">
      <alignment horizontal="center"/>
    </xf>
    <xf numFmtId="20" fontId="4" fillId="11" borderId="99" xfId="0" applyNumberFormat="1" applyFont="1" applyFill="1" applyBorder="1" applyAlignment="1">
      <alignment horizontal="center"/>
    </xf>
    <xf numFmtId="20" fontId="4" fillId="11" borderId="100" xfId="0" applyNumberFormat="1" applyFont="1" applyFill="1" applyBorder="1" applyAlignment="1">
      <alignment horizontal="center"/>
    </xf>
    <xf numFmtId="20" fontId="4" fillId="11" borderId="95" xfId="0" applyNumberFormat="1" applyFont="1" applyFill="1" applyBorder="1" applyAlignment="1">
      <alignment horizontal="center"/>
    </xf>
    <xf numFmtId="20" fontId="4" fillId="11" borderId="96" xfId="0" applyNumberFormat="1" applyFont="1" applyFill="1" applyBorder="1" applyAlignment="1">
      <alignment horizontal="center"/>
    </xf>
    <xf numFmtId="185" fontId="4" fillId="0" borderId="0" xfId="0" applyNumberFormat="1" applyFont="1" applyAlignment="1"/>
    <xf numFmtId="20" fontId="1" fillId="11" borderId="96" xfId="0" applyNumberFormat="1" applyFont="1" applyFill="1" applyBorder="1" applyAlignment="1">
      <alignment horizontal="center" vertical="center" wrapText="1"/>
    </xf>
    <xf numFmtId="20" fontId="1" fillId="11" borderId="65" xfId="0" applyNumberFormat="1" applyFont="1" applyFill="1" applyBorder="1" applyAlignment="1">
      <alignment horizontal="center"/>
    </xf>
    <xf numFmtId="20" fontId="1" fillId="11" borderId="96" xfId="0" applyNumberFormat="1" applyFont="1" applyFill="1" applyBorder="1" applyAlignment="1">
      <alignment horizontal="center"/>
    </xf>
    <xf numFmtId="20" fontId="1" fillId="11" borderId="49" xfId="0" applyNumberFormat="1" applyFont="1" applyFill="1" applyBorder="1" applyAlignment="1">
      <alignment horizontal="center" vertical="center" wrapText="1"/>
    </xf>
    <xf numFmtId="20" fontId="4" fillId="2" borderId="0" xfId="0" applyNumberFormat="1" applyFont="1" applyFill="1" applyBorder="1" applyAlignment="1">
      <alignment horizontal="center" vertical="center" wrapText="1"/>
    </xf>
    <xf numFmtId="46" fontId="4" fillId="2" borderId="0" xfId="0" applyNumberFormat="1" applyFont="1" applyFill="1" applyAlignment="1">
      <alignment horizontal="center" vertical="center" wrapText="1"/>
    </xf>
    <xf numFmtId="20" fontId="8" fillId="2" borderId="108" xfId="0" applyNumberFormat="1" applyFont="1" applyFill="1" applyBorder="1" applyAlignment="1">
      <alignment horizontal="center" vertical="center" wrapText="1"/>
    </xf>
    <xf numFmtId="20" fontId="1" fillId="11" borderId="66" xfId="0" applyNumberFormat="1" applyFont="1" applyFill="1" applyBorder="1" applyAlignment="1">
      <alignment horizontal="center"/>
    </xf>
    <xf numFmtId="20" fontId="4" fillId="11" borderId="66" xfId="0" applyNumberFormat="1" applyFont="1" applyFill="1" applyBorder="1" applyAlignment="1">
      <alignment horizontal="center"/>
    </xf>
    <xf numFmtId="20" fontId="4" fillId="11" borderId="113" xfId="0" applyNumberFormat="1" applyFont="1" applyFill="1" applyBorder="1" applyAlignment="1">
      <alignment horizontal="center"/>
    </xf>
    <xf numFmtId="20" fontId="1" fillId="11" borderId="113" xfId="0" applyNumberFormat="1" applyFont="1" applyFill="1" applyBorder="1" applyAlignment="1">
      <alignment horizontal="center"/>
    </xf>
    <xf numFmtId="20" fontId="4" fillId="11" borderId="38" xfId="0" applyNumberFormat="1" applyFont="1" applyFill="1" applyBorder="1" applyAlignment="1">
      <alignment horizontal="center"/>
    </xf>
    <xf numFmtId="0" fontId="1" fillId="2" borderId="101" xfId="0" applyFont="1" applyFill="1" applyBorder="1" applyAlignment="1">
      <alignment horizontal="justify" vertical="center" wrapText="1"/>
    </xf>
    <xf numFmtId="0" fontId="1" fillId="2" borderId="0" xfId="0" applyFont="1" applyFill="1" applyAlignment="1">
      <alignment horizontal="justify" vertical="center" wrapText="1"/>
    </xf>
    <xf numFmtId="0" fontId="1" fillId="2" borderId="128" xfId="0" applyFont="1" applyFill="1" applyBorder="1" applyAlignment="1">
      <alignment horizontal="justify" vertical="center" wrapText="1"/>
    </xf>
    <xf numFmtId="0" fontId="1" fillId="2" borderId="0" xfId="0" applyFont="1" applyFill="1" applyBorder="1" applyAlignment="1">
      <alignment horizontal="center" vertical="center" wrapText="1"/>
    </xf>
    <xf numFmtId="0" fontId="1" fillId="2" borderId="30" xfId="0" applyFont="1" applyFill="1" applyBorder="1" applyAlignment="1">
      <alignment horizontal="justify" vertical="center" wrapText="1"/>
    </xf>
    <xf numFmtId="0" fontId="1" fillId="2" borderId="31" xfId="0" applyFont="1" applyFill="1" applyBorder="1" applyAlignment="1">
      <alignment horizontal="justify" vertical="center" wrapText="1"/>
    </xf>
    <xf numFmtId="0" fontId="1" fillId="2" borderId="32" xfId="0" applyFont="1" applyFill="1" applyBorder="1" applyAlignment="1">
      <alignment horizontal="justify" vertical="center" wrapText="1"/>
    </xf>
    <xf numFmtId="0" fontId="39" fillId="2" borderId="0" xfId="0" applyFont="1" applyFill="1" applyAlignment="1">
      <alignment horizontal="center" vertical="center" wrapText="1"/>
    </xf>
    <xf numFmtId="20" fontId="8" fillId="11" borderId="62" xfId="0" applyNumberFormat="1" applyFont="1" applyFill="1" applyBorder="1" applyAlignment="1">
      <alignment horizontal="center" vertical="center" wrapText="1"/>
    </xf>
    <xf numFmtId="49" fontId="8" fillId="11" borderId="64" xfId="0" applyNumberFormat="1" applyFont="1" applyFill="1" applyBorder="1" applyAlignment="1">
      <alignment horizontal="center" vertical="center" wrapText="1"/>
    </xf>
    <xf numFmtId="20" fontId="8" fillId="4" borderId="48" xfId="0" applyNumberFormat="1" applyFont="1" applyFill="1" applyBorder="1" applyAlignment="1">
      <alignment horizontal="center" vertical="center" wrapText="1"/>
    </xf>
    <xf numFmtId="49" fontId="8" fillId="4" borderId="50" xfId="0" applyNumberFormat="1" applyFont="1" applyFill="1" applyBorder="1" applyAlignment="1">
      <alignment horizontal="center" vertical="center" wrapText="1"/>
    </xf>
    <xf numFmtId="0" fontId="4" fillId="22" borderId="1" xfId="0" applyFont="1" applyFill="1" applyBorder="1" applyAlignment="1" applyProtection="1">
      <alignment horizontal="center" vertical="center" textRotation="45" wrapText="1"/>
      <protection hidden="1"/>
    </xf>
    <xf numFmtId="0" fontId="4" fillId="22" borderId="1" xfId="0" applyFont="1" applyFill="1" applyBorder="1" applyAlignment="1" applyProtection="1">
      <alignment vertical="center" wrapText="1"/>
      <protection locked="0"/>
    </xf>
    <xf numFmtId="183" fontId="4" fillId="22" borderId="1" xfId="0" applyNumberFormat="1" applyFont="1" applyFill="1" applyBorder="1" applyAlignment="1" applyProtection="1">
      <alignment horizontal="center" vertical="center" wrapText="1"/>
      <protection locked="0"/>
    </xf>
    <xf numFmtId="4" fontId="4" fillId="22" borderId="1" xfId="0" applyNumberFormat="1" applyFont="1" applyFill="1" applyBorder="1" applyAlignment="1" applyProtection="1">
      <alignment horizontal="center" vertical="center" wrapText="1"/>
      <protection locked="0"/>
    </xf>
    <xf numFmtId="183" fontId="4" fillId="22" borderId="1" xfId="0" applyNumberFormat="1" applyFont="1" applyFill="1" applyBorder="1" applyAlignment="1" applyProtection="1">
      <alignment horizontal="center" vertical="center" wrapText="1"/>
      <protection hidden="1"/>
    </xf>
    <xf numFmtId="0" fontId="17" fillId="9" borderId="110" xfId="0" applyFont="1" applyFill="1" applyBorder="1" applyAlignment="1">
      <alignment horizontal="center" vertical="center" wrapText="1"/>
    </xf>
    <xf numFmtId="0" fontId="17" fillId="9" borderId="111" xfId="0" applyFont="1" applyFill="1" applyBorder="1" applyAlignment="1">
      <alignment horizontal="center" vertical="center" wrapText="1"/>
    </xf>
    <xf numFmtId="0" fontId="17" fillId="9" borderId="112" xfId="0" applyFont="1" applyFill="1" applyBorder="1" applyAlignment="1">
      <alignment horizontal="center" vertical="center" wrapText="1"/>
    </xf>
    <xf numFmtId="0" fontId="0" fillId="0" borderId="0" xfId="0" applyBorder="1" applyAlignment="1"/>
    <xf numFmtId="20" fontId="4" fillId="23" borderId="65" xfId="0" applyNumberFormat="1" applyFont="1" applyFill="1" applyBorder="1" applyAlignment="1">
      <alignment horizontal="center" vertical="center" wrapText="1"/>
    </xf>
    <xf numFmtId="20" fontId="4" fillId="23" borderId="96" xfId="0" applyNumberFormat="1" applyFont="1" applyFill="1" applyBorder="1" applyAlignment="1">
      <alignment horizontal="center" vertical="center" wrapText="1"/>
    </xf>
    <xf numFmtId="0" fontId="0" fillId="11" borderId="0" xfId="0" applyFill="1" applyBorder="1" applyAlignment="1">
      <alignment horizontal="left"/>
    </xf>
    <xf numFmtId="20" fontId="4" fillId="23" borderId="95" xfId="0" applyNumberFormat="1" applyFont="1" applyFill="1" applyBorder="1" applyAlignment="1">
      <alignment horizontal="center" vertical="center" wrapText="1"/>
    </xf>
    <xf numFmtId="20" fontId="28" fillId="0" borderId="65" xfId="0" applyNumberFormat="1" applyFont="1" applyFill="1" applyBorder="1" applyAlignment="1">
      <alignment horizontal="center" vertical="center" wrapText="1"/>
    </xf>
    <xf numFmtId="0" fontId="0" fillId="0" borderId="0" xfId="0" applyFill="1" applyAlignment="1"/>
    <xf numFmtId="20" fontId="27" fillId="0" borderId="65" xfId="0" applyNumberFormat="1" applyFont="1" applyFill="1" applyBorder="1" applyAlignment="1">
      <alignment horizontal="center" vertical="center" wrapText="1"/>
    </xf>
    <xf numFmtId="20" fontId="27" fillId="0" borderId="95" xfId="0" applyNumberFormat="1" applyFont="1" applyFill="1" applyBorder="1" applyAlignment="1">
      <alignment horizontal="center" vertical="center" wrapText="1"/>
    </xf>
    <xf numFmtId="20" fontId="27" fillId="0" borderId="81" xfId="0" applyNumberFormat="1" applyFont="1" applyFill="1" applyBorder="1" applyAlignment="1">
      <alignment horizontal="center" vertical="center" wrapText="1"/>
    </xf>
    <xf numFmtId="20" fontId="4" fillId="0" borderId="82" xfId="0" applyNumberFormat="1" applyFont="1" applyFill="1" applyBorder="1" applyAlignment="1">
      <alignment horizontal="center" vertical="center" wrapText="1"/>
    </xf>
    <xf numFmtId="20" fontId="4" fillId="0" borderId="83" xfId="0" applyNumberFormat="1" applyFont="1" applyFill="1" applyBorder="1" applyAlignment="1">
      <alignment horizontal="center" vertical="center" wrapText="1"/>
    </xf>
    <xf numFmtId="0" fontId="1" fillId="2" borderId="40" xfId="0" applyFont="1" applyFill="1" applyBorder="1" applyAlignment="1">
      <alignment horizontal="left" vertical="center" wrapText="1"/>
    </xf>
    <xf numFmtId="0" fontId="1" fillId="2" borderId="107" xfId="0" applyFont="1" applyFill="1" applyBorder="1" applyAlignment="1">
      <alignment horizontal="left" vertical="center" wrapText="1"/>
    </xf>
    <xf numFmtId="0" fontId="1" fillId="2" borderId="43" xfId="0" applyFont="1" applyFill="1" applyBorder="1" applyAlignment="1">
      <alignment horizontal="left" vertical="center" wrapText="1"/>
    </xf>
    <xf numFmtId="0" fontId="0" fillId="11" borderId="36" xfId="0" applyFill="1" applyBorder="1" applyAlignment="1"/>
    <xf numFmtId="0" fontId="1" fillId="2" borderId="44" xfId="0" applyFont="1" applyFill="1" applyBorder="1" applyAlignment="1">
      <alignment horizontal="left" vertical="center" wrapText="1"/>
    </xf>
    <xf numFmtId="0" fontId="1" fillId="2" borderId="127" xfId="0" applyFont="1" applyFill="1" applyBorder="1" applyAlignment="1">
      <alignment horizontal="left" vertical="center" wrapText="1"/>
    </xf>
    <xf numFmtId="0" fontId="1" fillId="2" borderId="47" xfId="0" applyFont="1" applyFill="1" applyBorder="1" applyAlignment="1">
      <alignment horizontal="left" vertical="center" wrapText="1"/>
    </xf>
    <xf numFmtId="183" fontId="4" fillId="2" borderId="0" xfId="0" applyNumberFormat="1" applyFont="1" applyFill="1" applyAlignment="1" applyProtection="1">
      <alignment horizontal="center" vertical="center" wrapText="1"/>
      <protection locked="0"/>
    </xf>
    <xf numFmtId="0" fontId="4" fillId="21" borderId="1" xfId="0" applyFont="1" applyFill="1" applyBorder="1" applyAlignment="1" applyProtection="1">
      <alignment vertical="center" wrapText="1"/>
      <protection locked="0"/>
    </xf>
    <xf numFmtId="0" fontId="0" fillId="0" borderId="0" xfId="0" applyFill="1" applyAlignment="1">
      <alignment vertical="center"/>
    </xf>
    <xf numFmtId="0" fontId="15" fillId="2" borderId="33" xfId="0" applyFont="1" applyFill="1" applyBorder="1" applyAlignment="1">
      <alignment horizontal="justify" vertical="center" wrapText="1"/>
    </xf>
    <xf numFmtId="0" fontId="15" fillId="2" borderId="35" xfId="0" applyFont="1" applyFill="1" applyBorder="1" applyAlignment="1">
      <alignment horizontal="justify" vertical="center" wrapText="1"/>
    </xf>
    <xf numFmtId="0" fontId="15" fillId="2" borderId="34" xfId="0" applyFont="1" applyFill="1" applyBorder="1" applyAlignment="1">
      <alignment horizontal="justify" vertical="center" wrapText="1"/>
    </xf>
    <xf numFmtId="0" fontId="5" fillId="2" borderId="33"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5" fillId="2" borderId="34" xfId="0" applyFont="1" applyFill="1" applyBorder="1" applyAlignment="1">
      <alignment horizontal="center" vertical="center" wrapText="1"/>
    </xf>
    <xf numFmtId="0" fontId="8" fillId="2" borderId="136" xfId="0" applyFont="1" applyFill="1" applyBorder="1" applyAlignment="1">
      <alignment horizontal="center" vertical="center" wrapText="1"/>
    </xf>
    <xf numFmtId="20" fontId="27" fillId="2" borderId="65" xfId="0" applyNumberFormat="1" applyFont="1" applyFill="1" applyBorder="1" applyAlignment="1">
      <alignment horizontal="center" vertical="center" wrapText="1"/>
    </xf>
    <xf numFmtId="20" fontId="8" fillId="2" borderId="114" xfId="0" applyNumberFormat="1" applyFont="1" applyFill="1" applyBorder="1" applyAlignment="1">
      <alignment horizontal="center" vertical="center" wrapText="1"/>
    </xf>
    <xf numFmtId="20" fontId="8" fillId="2" borderId="135" xfId="0" applyNumberFormat="1" applyFont="1" applyFill="1" applyBorder="1" applyAlignment="1">
      <alignment horizontal="center" vertical="center" wrapText="1"/>
    </xf>
    <xf numFmtId="0" fontId="0" fillId="0" borderId="0" xfId="0" applyFont="1" applyFill="1" applyAlignment="1"/>
    <xf numFmtId="0" fontId="31" fillId="2" borderId="62" xfId="0" applyFont="1" applyFill="1" applyBorder="1" applyAlignment="1">
      <alignment horizontal="center" vertical="center" wrapText="1"/>
    </xf>
    <xf numFmtId="0" fontId="31" fillId="2" borderId="63" xfId="0" applyFont="1" applyFill="1" applyBorder="1" applyAlignment="1">
      <alignment horizontal="center" vertical="center" wrapText="1"/>
    </xf>
    <xf numFmtId="0" fontId="31" fillId="2" borderId="64" xfId="0" applyFont="1" applyFill="1" applyBorder="1" applyAlignment="1">
      <alignment horizontal="center" vertical="center" wrapText="1"/>
    </xf>
    <xf numFmtId="0" fontId="1" fillId="2" borderId="48" xfId="0" applyFont="1" applyFill="1" applyBorder="1" applyAlignment="1">
      <alignment horizontal="left" vertical="center" wrapText="1"/>
    </xf>
    <xf numFmtId="0" fontId="1" fillId="2" borderId="49" xfId="0" applyFont="1" applyFill="1" applyBorder="1" applyAlignment="1">
      <alignment horizontal="left" vertical="center" wrapText="1"/>
    </xf>
    <xf numFmtId="0" fontId="1" fillId="2" borderId="50" xfId="0" applyFont="1" applyFill="1" applyBorder="1" applyAlignment="1">
      <alignment horizontal="left" vertical="center" wrapText="1"/>
    </xf>
    <xf numFmtId="0" fontId="0" fillId="11" borderId="0" xfId="0" applyFill="1" applyAlignment="1"/>
    <xf numFmtId="20" fontId="4" fillId="0" borderId="95" xfId="0" applyNumberFormat="1" applyFont="1" applyBorder="1" applyAlignment="1">
      <alignment horizontal="center" vertical="center" wrapText="1"/>
    </xf>
    <xf numFmtId="20" fontId="4" fillId="0" borderId="65" xfId="0" applyNumberFormat="1" applyFont="1" applyBorder="1" applyAlignment="1">
      <alignment horizontal="center" vertical="center" wrapText="1"/>
    </xf>
    <xf numFmtId="20" fontId="4" fillId="0" borderId="96" xfId="0" applyNumberFormat="1" applyFont="1" applyBorder="1" applyAlignment="1">
      <alignment horizontal="center" vertical="center" wrapText="1"/>
    </xf>
    <xf numFmtId="20" fontId="27" fillId="0" borderId="95" xfId="0" applyNumberFormat="1" applyFont="1" applyBorder="1" applyAlignment="1">
      <alignment horizontal="center" vertical="center" wrapText="1"/>
    </xf>
    <xf numFmtId="20" fontId="4" fillId="0" borderId="48" xfId="0" applyNumberFormat="1" applyFont="1" applyBorder="1" applyAlignment="1">
      <alignment horizontal="center" vertical="center" wrapText="1"/>
    </xf>
    <xf numFmtId="20" fontId="1" fillId="0" borderId="65" xfId="0" applyNumberFormat="1" applyFont="1" applyBorder="1" applyAlignment="1">
      <alignment horizontal="center" vertical="center" wrapText="1"/>
    </xf>
    <xf numFmtId="0" fontId="1" fillId="2" borderId="101" xfId="0" applyFont="1" applyFill="1" applyBorder="1" applyAlignment="1">
      <alignment vertical="center" wrapText="1"/>
    </xf>
    <xf numFmtId="181" fontId="4" fillId="2" borderId="0" xfId="0" applyNumberFormat="1" applyFont="1" applyFill="1" applyAlignment="1" applyProtection="1">
      <alignment horizontal="center" vertical="center" wrapText="1"/>
      <protection hidden="1"/>
    </xf>
    <xf numFmtId="0" fontId="17" fillId="9" borderId="30" xfId="0" applyFont="1" applyFill="1" applyBorder="1" applyAlignment="1">
      <alignment horizontal="center" vertical="center"/>
    </xf>
    <xf numFmtId="0" fontId="17" fillId="9" borderId="31" xfId="0" applyFont="1" applyFill="1" applyBorder="1" applyAlignment="1">
      <alignment horizontal="center" vertical="center"/>
    </xf>
    <xf numFmtId="0" fontId="17" fillId="9" borderId="32" xfId="0" applyFont="1" applyFill="1" applyBorder="1" applyAlignment="1">
      <alignment horizontal="center" vertical="center"/>
    </xf>
    <xf numFmtId="0" fontId="8" fillId="2" borderId="137" xfId="0" applyFont="1" applyFill="1" applyBorder="1" applyAlignment="1">
      <alignment horizontal="center" vertical="center" wrapText="1"/>
    </xf>
    <xf numFmtId="20" fontId="4" fillId="2" borderId="42" xfId="0" applyNumberFormat="1" applyFont="1" applyFill="1" applyBorder="1" applyAlignment="1">
      <alignment horizontal="center" vertical="center" wrapText="1"/>
    </xf>
    <xf numFmtId="20" fontId="4" fillId="2" borderId="138" xfId="0" applyNumberFormat="1" applyFont="1" applyFill="1" applyBorder="1" applyAlignment="1">
      <alignment horizontal="center" vertical="center" wrapText="1"/>
    </xf>
    <xf numFmtId="20" fontId="40" fillId="2" borderId="138" xfId="0" applyNumberFormat="1" applyFont="1" applyFill="1" applyBorder="1" applyAlignment="1">
      <alignment horizontal="center" vertical="center" wrapText="1"/>
    </xf>
    <xf numFmtId="20" fontId="4" fillId="0" borderId="138" xfId="0" applyNumberFormat="1" applyFont="1" applyFill="1" applyBorder="1" applyAlignment="1">
      <alignment horizontal="center" vertical="center" wrapText="1"/>
    </xf>
    <xf numFmtId="0" fontId="4" fillId="10" borderId="1" xfId="0" applyFont="1" applyFill="1" applyBorder="1" applyAlignment="1" applyProtection="1">
      <alignment horizontal="left" vertical="center" wrapText="1"/>
      <protection locked="0"/>
    </xf>
    <xf numFmtId="0" fontId="0" fillId="0" borderId="0" xfId="0" applyAlignment="1">
      <alignment horizontal="center"/>
    </xf>
    <xf numFmtId="20" fontId="4" fillId="0" borderId="114" xfId="0" applyNumberFormat="1" applyFont="1" applyBorder="1" applyAlignment="1">
      <alignment horizontal="center" vertical="center" wrapText="1"/>
    </xf>
    <xf numFmtId="20" fontId="4" fillId="0" borderId="115" xfId="0" applyNumberFormat="1" applyFont="1" applyBorder="1" applyAlignment="1">
      <alignment horizontal="center" vertical="center" wrapText="1"/>
    </xf>
    <xf numFmtId="20" fontId="27" fillId="0" borderId="114" xfId="0" applyNumberFormat="1" applyFont="1" applyBorder="1" applyAlignment="1">
      <alignment horizontal="center" vertical="center" wrapText="1"/>
    </xf>
    <xf numFmtId="20" fontId="27" fillId="0" borderId="115" xfId="0" applyNumberFormat="1" applyFont="1" applyBorder="1" applyAlignment="1">
      <alignment horizontal="center" vertical="center" wrapText="1"/>
    </xf>
    <xf numFmtId="20" fontId="4" fillId="0" borderId="44" xfId="0" applyNumberFormat="1" applyFont="1" applyBorder="1" applyAlignment="1">
      <alignment horizontal="center" vertical="center" wrapText="1"/>
    </xf>
    <xf numFmtId="20" fontId="4" fillId="0" borderId="47" xfId="0" applyNumberFormat="1" applyFont="1" applyBorder="1" applyAlignment="1">
      <alignment horizontal="center" vertical="center" wrapText="1"/>
    </xf>
    <xf numFmtId="0" fontId="1" fillId="2" borderId="102" xfId="0" applyFont="1" applyFill="1" applyBorder="1" applyAlignment="1">
      <alignment horizontal="left" vertical="center" wrapText="1"/>
    </xf>
    <xf numFmtId="0" fontId="1" fillId="2" borderId="103" xfId="0" applyFont="1" applyFill="1" applyBorder="1" applyAlignment="1">
      <alignment horizontal="left" vertical="center" wrapText="1"/>
    </xf>
    <xf numFmtId="0" fontId="1" fillId="2" borderId="104" xfId="0" applyFont="1" applyFill="1" applyBorder="1" applyAlignment="1">
      <alignment horizontal="left" vertical="center" wrapText="1"/>
    </xf>
    <xf numFmtId="20" fontId="4" fillId="11" borderId="98" xfId="0" applyNumberFormat="1" applyFont="1" applyFill="1" applyBorder="1" applyAlignment="1">
      <alignment horizontal="center" vertical="center" wrapText="1"/>
    </xf>
    <xf numFmtId="20" fontId="4" fillId="24" borderId="95" xfId="0" applyNumberFormat="1" applyFont="1" applyFill="1" applyBorder="1" applyAlignment="1">
      <alignment horizontal="center" vertical="center" wrapText="1"/>
    </xf>
    <xf numFmtId="20" fontId="4" fillId="24" borderId="65" xfId="0" applyNumberFormat="1" applyFont="1" applyFill="1" applyBorder="1" applyAlignment="1">
      <alignment horizontal="center" vertical="center" wrapText="1"/>
    </xf>
    <xf numFmtId="20" fontId="4" fillId="24" borderId="96" xfId="0" applyNumberFormat="1" applyFont="1" applyFill="1" applyBorder="1" applyAlignment="1">
      <alignment horizontal="center" vertical="center" wrapText="1"/>
    </xf>
    <xf numFmtId="20" fontId="4" fillId="4" borderId="81" xfId="0" applyNumberFormat="1" applyFont="1" applyFill="1" applyBorder="1" applyAlignment="1">
      <alignment horizontal="center" vertical="center" wrapText="1"/>
    </xf>
    <xf numFmtId="20" fontId="4" fillId="4" borderId="82" xfId="0" applyNumberFormat="1" applyFont="1" applyFill="1" applyBorder="1" applyAlignment="1">
      <alignment horizontal="center" vertical="center" wrapText="1"/>
    </xf>
    <xf numFmtId="20" fontId="4" fillId="4" borderId="83" xfId="0" applyNumberFormat="1" applyFont="1" applyFill="1" applyBorder="1" applyAlignment="1">
      <alignment horizontal="center" vertical="center" wrapText="1"/>
    </xf>
    <xf numFmtId="20" fontId="4" fillId="11" borderId="81" xfId="0" applyNumberFormat="1" applyFont="1" applyFill="1" applyBorder="1" applyAlignment="1">
      <alignment horizontal="center" vertical="center" wrapText="1"/>
    </xf>
    <xf numFmtId="20" fontId="4" fillId="11" borderId="82" xfId="0" applyNumberFormat="1" applyFont="1" applyFill="1" applyBorder="1" applyAlignment="1">
      <alignment horizontal="center" vertical="center" wrapText="1"/>
    </xf>
    <xf numFmtId="20" fontId="4" fillId="11" borderId="83" xfId="0" applyNumberFormat="1" applyFont="1" applyFill="1" applyBorder="1" applyAlignment="1">
      <alignment horizontal="center" vertical="center" wrapText="1"/>
    </xf>
    <xf numFmtId="0" fontId="35" fillId="2" borderId="30" xfId="0" applyFont="1" applyFill="1" applyBorder="1" applyAlignment="1">
      <alignment horizontal="center" vertical="center" wrapText="1"/>
    </xf>
    <xf numFmtId="0" fontId="35" fillId="2" borderId="31" xfId="0" applyFont="1" applyFill="1" applyBorder="1" applyAlignment="1">
      <alignment horizontal="center" vertical="center" wrapText="1"/>
    </xf>
    <xf numFmtId="0" fontId="35" fillId="2" borderId="136" xfId="0" applyFont="1" applyFill="1" applyBorder="1" applyAlignment="1">
      <alignment horizontal="center" vertical="center" wrapText="1"/>
    </xf>
    <xf numFmtId="0" fontId="0" fillId="0" borderId="0" xfId="0" applyBorder="1" applyAlignment="1">
      <alignment horizontal="justify" vertical="center"/>
    </xf>
    <xf numFmtId="20" fontId="8" fillId="11" borderId="40" xfId="0" applyNumberFormat="1" applyFont="1" applyFill="1" applyBorder="1" applyAlignment="1">
      <alignment horizontal="center" vertical="center" wrapText="1"/>
    </xf>
    <xf numFmtId="20" fontId="8" fillId="11" borderId="43" xfId="0" applyNumberFormat="1" applyFont="1" applyFill="1" applyBorder="1" applyAlignment="1">
      <alignment horizontal="center" vertical="center" wrapText="1"/>
    </xf>
    <xf numFmtId="20" fontId="8" fillId="4" borderId="102" xfId="0" applyNumberFormat="1" applyFont="1" applyFill="1" applyBorder="1" applyAlignment="1">
      <alignment horizontal="center" vertical="center" wrapText="1"/>
    </xf>
    <xf numFmtId="20" fontId="8" fillId="4" borderId="104" xfId="0" applyNumberFormat="1" applyFont="1" applyFill="1" applyBorder="1" applyAlignment="1">
      <alignment horizontal="center" vertical="center" wrapText="1"/>
    </xf>
    <xf numFmtId="20" fontId="8" fillId="24" borderId="102" xfId="0" applyNumberFormat="1" applyFont="1" applyFill="1" applyBorder="1" applyAlignment="1">
      <alignment horizontal="center" vertical="center" wrapText="1"/>
    </xf>
    <xf numFmtId="20" fontId="8" fillId="24" borderId="104" xfId="0" applyNumberFormat="1" applyFont="1" applyFill="1" applyBorder="1" applyAlignment="1">
      <alignment horizontal="center" vertical="center" wrapText="1"/>
    </xf>
    <xf numFmtId="0" fontId="12" fillId="10" borderId="1" xfId="0" applyFont="1" applyFill="1" applyBorder="1" applyAlignment="1" applyProtection="1">
      <alignment horizontal="left" vertical="center" wrapText="1"/>
      <protection hidden="1"/>
    </xf>
    <xf numFmtId="0" fontId="4" fillId="25" borderId="1" xfId="0" applyFont="1" applyFill="1" applyBorder="1" applyAlignment="1" applyProtection="1">
      <alignment horizontal="left" vertical="center" wrapText="1"/>
      <protection locked="0"/>
    </xf>
    <xf numFmtId="0" fontId="12" fillId="10" borderId="90" xfId="0" applyFont="1" applyFill="1" applyBorder="1" applyAlignment="1" applyProtection="1">
      <alignment horizontal="center" vertical="center" wrapText="1"/>
      <protection hidden="1"/>
    </xf>
    <xf numFmtId="0" fontId="12" fillId="10" borderId="97" xfId="0" applyFont="1" applyFill="1" applyBorder="1" applyAlignment="1" applyProtection="1">
      <alignment horizontal="center" vertical="center" wrapText="1"/>
      <protection hidden="1"/>
    </xf>
    <xf numFmtId="0" fontId="1" fillId="2" borderId="0" xfId="0" applyFont="1" applyFill="1" applyAlignment="1">
      <alignment horizontal="left" vertical="center" wrapText="1"/>
    </xf>
    <xf numFmtId="0" fontId="8" fillId="2" borderId="64" xfId="0" applyFont="1" applyFill="1" applyBorder="1" applyAlignment="1">
      <alignment horizontal="center" vertical="center" wrapText="1"/>
    </xf>
    <xf numFmtId="20" fontId="4" fillId="4" borderId="48" xfId="0" applyNumberFormat="1" applyFont="1" applyFill="1" applyBorder="1" applyAlignment="1">
      <alignment horizontal="center" vertical="center" wrapText="1"/>
    </xf>
    <xf numFmtId="20" fontId="4" fillId="4" borderId="49" xfId="0" applyNumberFormat="1" applyFont="1" applyFill="1" applyBorder="1" applyAlignment="1">
      <alignment horizontal="center" vertical="center" wrapText="1"/>
    </xf>
    <xf numFmtId="20" fontId="4" fillId="4" borderId="50" xfId="0" applyNumberFormat="1" applyFont="1" applyFill="1" applyBorder="1" applyAlignment="1">
      <alignment horizontal="center" vertical="center" wrapText="1"/>
    </xf>
    <xf numFmtId="20" fontId="4" fillId="0" borderId="31" xfId="0" applyNumberFormat="1" applyFont="1" applyBorder="1" applyAlignment="1">
      <alignment horizontal="center" vertical="center" wrapText="1"/>
    </xf>
    <xf numFmtId="20" fontId="4" fillId="4" borderId="98" xfId="0" applyNumberFormat="1" applyFont="1" applyFill="1" applyBorder="1" applyAlignment="1">
      <alignment horizontal="center" vertical="center" wrapText="1"/>
    </xf>
    <xf numFmtId="20" fontId="4" fillId="4" borderId="99" xfId="0" applyNumberFormat="1" applyFont="1" applyFill="1" applyBorder="1" applyAlignment="1">
      <alignment horizontal="center" vertical="center" wrapText="1"/>
    </xf>
    <xf numFmtId="20" fontId="4" fillId="4" borderId="100" xfId="0" applyNumberFormat="1" applyFont="1" applyFill="1" applyBorder="1" applyAlignment="1">
      <alignment horizontal="center" vertical="center" wrapText="1"/>
    </xf>
    <xf numFmtId="0" fontId="29" fillId="2" borderId="103" xfId="0" applyFont="1" applyFill="1" applyBorder="1" applyAlignment="1">
      <alignment horizontal="center" vertical="center" wrapText="1"/>
    </xf>
    <xf numFmtId="0" fontId="1" fillId="2" borderId="102" xfId="0" applyFont="1" applyFill="1" applyBorder="1" applyAlignment="1">
      <alignment horizontal="justify" vertical="center" wrapText="1"/>
    </xf>
    <xf numFmtId="0" fontId="1" fillId="2" borderId="103" xfId="0" applyFont="1" applyFill="1" applyBorder="1" applyAlignment="1">
      <alignment horizontal="justify" vertical="center" wrapText="1"/>
    </xf>
    <xf numFmtId="0" fontId="1" fillId="2" borderId="125" xfId="0" applyFont="1" applyFill="1" applyBorder="1" applyAlignment="1">
      <alignment horizontal="justify" vertical="center" wrapText="1"/>
    </xf>
    <xf numFmtId="0" fontId="1" fillId="2" borderId="109" xfId="0" applyFont="1" applyFill="1" applyBorder="1" applyAlignment="1">
      <alignment horizontal="justify" vertical="center" wrapText="1"/>
    </xf>
    <xf numFmtId="0" fontId="1" fillId="2" borderId="129" xfId="0" applyFont="1" applyFill="1" applyBorder="1" applyAlignment="1">
      <alignment horizontal="justify" vertical="center" wrapText="1"/>
    </xf>
    <xf numFmtId="0" fontId="4" fillId="22" borderId="1" xfId="0" applyFont="1" applyFill="1" applyBorder="1" applyAlignment="1" applyProtection="1">
      <alignment horizontal="left" vertical="center" wrapText="1"/>
      <protection locked="0"/>
    </xf>
    <xf numFmtId="0" fontId="4" fillId="2" borderId="5" xfId="0" applyFont="1" applyFill="1" applyBorder="1" applyAlignment="1" applyProtection="1">
      <alignment horizontal="center" vertical="center" textRotation="45" wrapText="1"/>
      <protection hidden="1"/>
    </xf>
    <xf numFmtId="0" fontId="4" fillId="22" borderId="75" xfId="0" applyFont="1" applyFill="1" applyBorder="1" applyAlignment="1" applyProtection="1">
      <alignment horizontal="center" vertical="center" textRotation="45" wrapText="1"/>
      <protection hidden="1"/>
    </xf>
    <xf numFmtId="0" fontId="4" fillId="22" borderId="11" xfId="0" applyFont="1" applyFill="1" applyBorder="1" applyAlignment="1" applyProtection="1">
      <alignment horizontal="center" vertical="center" textRotation="45" wrapText="1"/>
      <protection hidden="1"/>
    </xf>
    <xf numFmtId="0" fontId="0" fillId="0" borderId="0" xfId="0" applyAlignment="1">
      <alignment horizontal="justify"/>
    </xf>
    <xf numFmtId="0" fontId="4" fillId="2" borderId="0" xfId="0" applyFont="1" applyFill="1" applyBorder="1" applyAlignment="1" applyProtection="1">
      <alignment horizontal="center" vertical="center" wrapText="1"/>
      <protection hidden="1"/>
    </xf>
    <xf numFmtId="0" fontId="4" fillId="4" borderId="99" xfId="0" applyFont="1" applyFill="1" applyBorder="1" applyAlignment="1">
      <alignment horizontal="center" vertical="center" wrapText="1"/>
    </xf>
    <xf numFmtId="20" fontId="4" fillId="4" borderId="139" xfId="0" applyNumberFormat="1" applyFont="1" applyFill="1" applyBorder="1" applyAlignment="1">
      <alignment horizontal="center" vertical="center" wrapText="1"/>
    </xf>
    <xf numFmtId="0" fontId="4" fillId="11" borderId="95" xfId="0" applyFont="1" applyFill="1" applyBorder="1" applyAlignment="1">
      <alignment horizontal="center" vertical="center" wrapText="1"/>
    </xf>
    <xf numFmtId="0" fontId="4" fillId="11" borderId="65" xfId="0" applyFont="1" applyFill="1" applyBorder="1" applyAlignment="1">
      <alignment horizontal="center" vertical="center" wrapText="1"/>
    </xf>
    <xf numFmtId="20" fontId="4" fillId="11" borderId="138" xfId="0" applyNumberFormat="1" applyFont="1" applyFill="1" applyBorder="1" applyAlignment="1">
      <alignment horizontal="center" vertical="center" wrapText="1"/>
    </xf>
    <xf numFmtId="0" fontId="4" fillId="4" borderId="65" xfId="0" applyFont="1" applyFill="1" applyBorder="1" applyAlignment="1">
      <alignment horizontal="center" vertical="center" wrapText="1"/>
    </xf>
    <xf numFmtId="20" fontId="4" fillId="4" borderId="138" xfId="0" applyNumberFormat="1" applyFont="1" applyFill="1" applyBorder="1" applyAlignment="1">
      <alignment horizontal="center" vertical="center" wrapText="1"/>
    </xf>
    <xf numFmtId="20" fontId="4" fillId="26" borderId="95" xfId="0" applyNumberFormat="1" applyFont="1" applyFill="1" applyBorder="1" applyAlignment="1">
      <alignment horizontal="center" vertical="center" wrapText="1"/>
    </xf>
    <xf numFmtId="20" fontId="4" fillId="26" borderId="65" xfId="0" applyNumberFormat="1" applyFont="1" applyFill="1" applyBorder="1" applyAlignment="1">
      <alignment horizontal="center" vertical="center" wrapText="1"/>
    </xf>
    <xf numFmtId="20" fontId="4" fillId="26" borderId="138" xfId="0" applyNumberFormat="1" applyFont="1" applyFill="1" applyBorder="1" applyAlignment="1">
      <alignment horizontal="center" vertical="center" wrapText="1"/>
    </xf>
    <xf numFmtId="20" fontId="4" fillId="27" borderId="95" xfId="0" applyNumberFormat="1" applyFont="1" applyFill="1" applyBorder="1" applyAlignment="1">
      <alignment horizontal="center" vertical="center" wrapText="1"/>
    </xf>
    <xf numFmtId="20" fontId="4" fillId="27" borderId="65" xfId="0" applyNumberFormat="1" applyFont="1" applyFill="1" applyBorder="1" applyAlignment="1">
      <alignment horizontal="center" vertical="center" wrapText="1"/>
    </xf>
    <xf numFmtId="20" fontId="4" fillId="27" borderId="138" xfId="0" applyNumberFormat="1" applyFont="1" applyFill="1" applyBorder="1" applyAlignment="1">
      <alignment horizontal="center" vertical="center" wrapText="1"/>
    </xf>
    <xf numFmtId="20" fontId="1" fillId="11" borderId="95" xfId="0" applyNumberFormat="1" applyFont="1" applyFill="1" applyBorder="1" applyAlignment="1">
      <alignment horizontal="center" vertical="center" wrapText="1"/>
    </xf>
    <xf numFmtId="20" fontId="1" fillId="4" borderId="95" xfId="0" applyNumberFormat="1" applyFont="1" applyFill="1" applyBorder="1" applyAlignment="1">
      <alignment horizontal="center" vertical="center" wrapText="1"/>
    </xf>
    <xf numFmtId="20" fontId="27" fillId="28" borderId="95" xfId="0" applyNumberFormat="1" applyFont="1" applyFill="1" applyBorder="1" applyAlignment="1">
      <alignment horizontal="center" vertical="center" wrapText="1"/>
    </xf>
    <xf numFmtId="20" fontId="4" fillId="28" borderId="65" xfId="0" applyNumberFormat="1" applyFont="1" applyFill="1" applyBorder="1" applyAlignment="1">
      <alignment horizontal="center" vertical="center" wrapText="1"/>
    </xf>
    <xf numFmtId="0" fontId="4" fillId="28" borderId="65" xfId="0" applyFont="1" applyFill="1" applyBorder="1" applyAlignment="1">
      <alignment horizontal="center" vertical="center" wrapText="1"/>
    </xf>
    <xf numFmtId="20" fontId="4" fillId="28" borderId="138" xfId="0" applyNumberFormat="1" applyFont="1" applyFill="1" applyBorder="1" applyAlignment="1">
      <alignment horizontal="center" vertical="center" wrapText="1"/>
    </xf>
    <xf numFmtId="20" fontId="1" fillId="28" borderId="95" xfId="0" applyNumberFormat="1" applyFont="1" applyFill="1" applyBorder="1" applyAlignment="1">
      <alignment horizontal="center" vertical="center" wrapText="1"/>
    </xf>
    <xf numFmtId="20" fontId="22" fillId="11" borderId="65" xfId="0" applyNumberFormat="1" applyFont="1" applyFill="1" applyBorder="1" applyAlignment="1">
      <alignment horizontal="center" vertical="center" wrapText="1"/>
    </xf>
    <xf numFmtId="20" fontId="22" fillId="27" borderId="65" xfId="0" applyNumberFormat="1" applyFont="1" applyFill="1" applyBorder="1" applyAlignment="1">
      <alignment horizontal="center" vertical="center" wrapText="1"/>
    </xf>
    <xf numFmtId="20" fontId="1" fillId="27" borderId="95" xfId="0" applyNumberFormat="1" applyFont="1" applyFill="1" applyBorder="1" applyAlignment="1">
      <alignment horizontal="center" vertical="center" wrapText="1"/>
    </xf>
    <xf numFmtId="0" fontId="22" fillId="4" borderId="65" xfId="0" applyFont="1" applyFill="1" applyBorder="1" applyAlignment="1">
      <alignment horizontal="center" vertical="center" wrapText="1"/>
    </xf>
    <xf numFmtId="0" fontId="22" fillId="11" borderId="65" xfId="0" applyFont="1" applyFill="1" applyBorder="1" applyAlignment="1">
      <alignment horizontal="center" vertical="center" wrapText="1"/>
    </xf>
    <xf numFmtId="20" fontId="27" fillId="4" borderId="95" xfId="0" applyNumberFormat="1" applyFont="1" applyFill="1" applyBorder="1" applyAlignment="1">
      <alignment horizontal="center" vertical="center" wrapText="1"/>
    </xf>
    <xf numFmtId="20" fontId="27" fillId="11" borderId="81" xfId="0" applyNumberFormat="1" applyFont="1" applyFill="1" applyBorder="1" applyAlignment="1">
      <alignment horizontal="center" vertical="center" wrapText="1"/>
    </xf>
    <xf numFmtId="0" fontId="22" fillId="11" borderId="82" xfId="0" applyFont="1" applyFill="1" applyBorder="1" applyAlignment="1">
      <alignment horizontal="center" vertical="center" wrapText="1"/>
    </xf>
    <xf numFmtId="20" fontId="4" fillId="11" borderId="140" xfId="0" applyNumberFormat="1" applyFont="1" applyFill="1" applyBorder="1" applyAlignment="1">
      <alignment horizontal="center" vertical="center" wrapText="1"/>
    </xf>
    <xf numFmtId="20" fontId="27" fillId="4" borderId="138" xfId="0" applyNumberFormat="1" applyFont="1" applyFill="1" applyBorder="1" applyAlignment="1">
      <alignment horizontal="center" vertical="center" wrapText="1"/>
    </xf>
    <xf numFmtId="20" fontId="1" fillId="2" borderId="52" xfId="0" applyNumberFormat="1" applyFont="1" applyFill="1" applyBorder="1" applyAlignment="1">
      <alignment horizontal="center" vertical="center" wrapText="1"/>
    </xf>
    <xf numFmtId="0" fontId="22" fillId="2" borderId="52" xfId="0" applyFont="1" applyFill="1" applyBorder="1" applyAlignment="1">
      <alignment horizontal="center" vertical="center" wrapText="1"/>
    </xf>
    <xf numFmtId="181" fontId="1" fillId="11" borderId="65" xfId="0" applyNumberFormat="1" applyFont="1" applyFill="1" applyBorder="1" applyAlignment="1">
      <alignment horizontal="center" vertical="center" wrapText="1"/>
    </xf>
    <xf numFmtId="20" fontId="1" fillId="11" borderId="65" xfId="0" applyNumberFormat="1" applyFont="1" applyFill="1" applyBorder="1" applyAlignment="1">
      <alignment horizontal="center" vertical="center" wrapText="1"/>
    </xf>
    <xf numFmtId="20" fontId="1" fillId="29" borderId="65" xfId="0" applyNumberFormat="1" applyFont="1" applyFill="1" applyBorder="1" applyAlignment="1">
      <alignment horizontal="center" vertical="center" wrapText="1"/>
    </xf>
    <xf numFmtId="20" fontId="27" fillId="29" borderId="138" xfId="0" applyNumberFormat="1" applyFont="1" applyFill="1" applyBorder="1" applyAlignment="1">
      <alignment horizontal="center" vertical="center" wrapText="1"/>
    </xf>
    <xf numFmtId="20" fontId="1" fillId="18" borderId="65" xfId="0" applyNumberFormat="1" applyFont="1" applyFill="1" applyBorder="1" applyAlignment="1">
      <alignment horizontal="center" vertical="center" wrapText="1"/>
    </xf>
    <xf numFmtId="0" fontId="1" fillId="17" borderId="65" xfId="0" applyFont="1" applyFill="1" applyBorder="1" applyAlignment="1">
      <alignment horizontal="center" vertical="center" wrapText="1"/>
    </xf>
    <xf numFmtId="20" fontId="27" fillId="17" borderId="138" xfId="0" applyNumberFormat="1" applyFont="1" applyFill="1" applyBorder="1" applyAlignment="1">
      <alignment horizontal="center" vertical="center" wrapText="1"/>
    </xf>
    <xf numFmtId="20" fontId="1" fillId="17" borderId="65" xfId="0" applyNumberFormat="1" applyFont="1" applyFill="1" applyBorder="1" applyAlignment="1">
      <alignment horizontal="center" vertical="center" wrapText="1"/>
    </xf>
    <xf numFmtId="20" fontId="1" fillId="30" borderId="65" xfId="0" applyNumberFormat="1" applyFont="1" applyFill="1" applyBorder="1" applyAlignment="1">
      <alignment horizontal="center" vertical="center" wrapText="1"/>
    </xf>
    <xf numFmtId="20" fontId="1" fillId="31" borderId="65" xfId="0" applyNumberFormat="1" applyFont="1" applyFill="1" applyBorder="1" applyAlignment="1">
      <alignment horizontal="center" vertical="center" wrapText="1"/>
    </xf>
    <xf numFmtId="20" fontId="1" fillId="31" borderId="138" xfId="0" applyNumberFormat="1" applyFont="1" applyFill="1" applyBorder="1" applyAlignment="1">
      <alignment horizontal="center" vertical="center" wrapText="1"/>
    </xf>
    <xf numFmtId="20" fontId="0" fillId="0" borderId="0" xfId="0" applyNumberFormat="1" applyBorder="1" applyAlignment="1"/>
    <xf numFmtId="20" fontId="1" fillId="32" borderId="65" xfId="0" applyNumberFormat="1" applyFont="1" applyFill="1" applyBorder="1" applyAlignment="1">
      <alignment horizontal="center" vertical="center" wrapText="1"/>
    </xf>
    <xf numFmtId="20" fontId="1" fillId="33" borderId="65" xfId="0" applyNumberFormat="1" applyFont="1" applyFill="1" applyBorder="1" applyAlignment="1">
      <alignment horizontal="center" vertical="center" wrapText="1"/>
    </xf>
    <xf numFmtId="20" fontId="1" fillId="24" borderId="65" xfId="0" applyNumberFormat="1" applyFont="1" applyFill="1" applyBorder="1" applyAlignment="1">
      <alignment horizontal="center" vertical="center" wrapText="1"/>
    </xf>
    <xf numFmtId="20" fontId="27" fillId="24" borderId="138" xfId="0" applyNumberFormat="1" applyFont="1" applyFill="1" applyBorder="1" applyAlignment="1">
      <alignment horizontal="center" vertical="center" wrapText="1"/>
    </xf>
    <xf numFmtId="20" fontId="1" fillId="34" borderId="65" xfId="0" applyNumberFormat="1" applyFont="1" applyFill="1" applyBorder="1" applyAlignment="1">
      <alignment horizontal="center" vertical="center" wrapText="1"/>
    </xf>
    <xf numFmtId="20" fontId="1" fillId="11" borderId="138" xfId="0" applyNumberFormat="1" applyFont="1" applyFill="1" applyBorder="1" applyAlignment="1">
      <alignment horizontal="center" vertical="center" wrapText="1"/>
    </xf>
    <xf numFmtId="20" fontId="1" fillId="2" borderId="0" xfId="0" applyNumberFormat="1" applyFont="1" applyFill="1" applyAlignment="1">
      <alignment horizontal="center" vertical="center" wrapText="1"/>
    </xf>
    <xf numFmtId="0" fontId="22" fillId="2" borderId="0" xfId="0" applyFont="1" applyFill="1" applyAlignment="1">
      <alignment horizontal="center" vertical="center" wrapText="1"/>
    </xf>
    <xf numFmtId="0" fontId="0" fillId="0" borderId="0" xfId="0" applyBorder="1" applyAlignment="1">
      <alignment horizontal="justify"/>
    </xf>
    <xf numFmtId="0" fontId="18" fillId="0" borderId="30" xfId="0" applyFont="1" applyBorder="1" applyAlignment="1">
      <alignment horizontal="center"/>
    </xf>
    <xf numFmtId="0" fontId="18" fillId="0" borderId="31" xfId="0" applyFont="1" applyBorder="1" applyAlignment="1">
      <alignment horizontal="center"/>
    </xf>
    <xf numFmtId="0" fontId="4" fillId="0" borderId="30" xfId="0" applyFont="1" applyBorder="1" applyAlignment="1">
      <alignment horizontal="justify"/>
    </xf>
    <xf numFmtId="0" fontId="4" fillId="0" borderId="31" xfId="0" applyFont="1" applyBorder="1" applyAlignment="1">
      <alignment horizontal="justify"/>
    </xf>
    <xf numFmtId="0" fontId="18" fillId="0" borderId="30" xfId="0" applyFont="1" applyFill="1" applyBorder="1" applyAlignment="1">
      <alignment horizontal="center"/>
    </xf>
    <xf numFmtId="0" fontId="18" fillId="0" borderId="31" xfId="0" applyFont="1" applyFill="1" applyBorder="1" applyAlignment="1">
      <alignment horizontal="center"/>
    </xf>
    <xf numFmtId="0" fontId="4" fillId="0" borderId="30" xfId="0" applyFont="1" applyFill="1" applyBorder="1" applyAlignment="1">
      <alignment horizontal="justify" vertical="center" wrapText="1"/>
    </xf>
    <xf numFmtId="0" fontId="4" fillId="0" borderId="31" xfId="0" applyFont="1" applyFill="1" applyBorder="1" applyAlignment="1">
      <alignment horizontal="justify" vertical="center" wrapText="1"/>
    </xf>
    <xf numFmtId="0" fontId="5" fillId="2" borderId="0" xfId="0" applyFont="1" applyFill="1" applyBorder="1" applyAlignment="1" applyProtection="1">
      <alignment horizontal="center" vertical="center" wrapText="1"/>
      <protection hidden="1"/>
    </xf>
    <xf numFmtId="4" fontId="5" fillId="2" borderId="0" xfId="0" applyNumberFormat="1" applyFont="1" applyFill="1" applyBorder="1" applyAlignment="1" applyProtection="1">
      <alignment horizontal="center" vertical="center" wrapText="1"/>
      <protection hidden="1"/>
    </xf>
    <xf numFmtId="20" fontId="8" fillId="4" borderId="114" xfId="0" applyNumberFormat="1" applyFont="1" applyFill="1" applyBorder="1" applyAlignment="1">
      <alignment horizontal="center" vertical="center" wrapText="1"/>
    </xf>
    <xf numFmtId="20" fontId="8" fillId="4" borderId="115" xfId="0" applyNumberFormat="1" applyFont="1" applyFill="1" applyBorder="1" applyAlignment="1">
      <alignment horizontal="center" vertical="center" wrapText="1"/>
    </xf>
    <xf numFmtId="20" fontId="8" fillId="28" borderId="114" xfId="0" applyNumberFormat="1" applyFont="1" applyFill="1" applyBorder="1" applyAlignment="1">
      <alignment horizontal="center" vertical="center" wrapText="1"/>
    </xf>
    <xf numFmtId="20" fontId="8" fillId="28" borderId="115" xfId="0" applyNumberFormat="1" applyFont="1" applyFill="1" applyBorder="1" applyAlignment="1">
      <alignment horizontal="center" vertical="center" wrapText="1"/>
    </xf>
    <xf numFmtId="20" fontId="8" fillId="27" borderId="44" xfId="0" applyNumberFormat="1" applyFont="1" applyFill="1" applyBorder="1" applyAlignment="1">
      <alignment horizontal="center" vertical="center" wrapText="1"/>
    </xf>
    <xf numFmtId="20" fontId="8" fillId="27" borderId="47" xfId="0" applyNumberFormat="1" applyFont="1" applyFill="1" applyBorder="1" applyAlignment="1">
      <alignment horizontal="center" vertical="center" wrapText="1"/>
    </xf>
    <xf numFmtId="20" fontId="8" fillId="26" borderId="44" xfId="0" applyNumberFormat="1" applyFont="1" applyFill="1" applyBorder="1" applyAlignment="1">
      <alignment horizontal="center" vertical="center" wrapText="1"/>
    </xf>
    <xf numFmtId="20" fontId="8" fillId="26" borderId="47" xfId="0" applyNumberFormat="1" applyFont="1" applyFill="1" applyBorder="1" applyAlignment="1">
      <alignment horizontal="center" vertical="center" wrapText="1"/>
    </xf>
    <xf numFmtId="0" fontId="16" fillId="2" borderId="0" xfId="0" applyFont="1" applyFill="1" applyBorder="1" applyAlignment="1" applyProtection="1">
      <alignment horizontal="center" vertical="center" wrapText="1"/>
      <protection hidden="1"/>
    </xf>
    <xf numFmtId="0" fontId="4" fillId="11" borderId="1" xfId="0" applyFont="1" applyFill="1" applyBorder="1" applyAlignment="1" applyProtection="1">
      <alignment vertical="center" wrapText="1"/>
      <protection locked="0"/>
    </xf>
    <xf numFmtId="0" fontId="4" fillId="0" borderId="75" xfId="0" applyFont="1" applyFill="1" applyBorder="1" applyAlignment="1" applyProtection="1">
      <alignment horizontal="center" vertical="center" textRotation="45" wrapText="1"/>
      <protection hidden="1"/>
    </xf>
    <xf numFmtId="0" fontId="4" fillId="0" borderId="0" xfId="0" applyFont="1" applyFill="1" applyBorder="1" applyAlignment="1" applyProtection="1">
      <alignment vertical="center" wrapText="1"/>
      <protection locked="0"/>
    </xf>
    <xf numFmtId="0" fontId="4" fillId="0" borderId="11" xfId="0" applyFont="1" applyFill="1" applyBorder="1" applyAlignment="1" applyProtection="1">
      <alignment horizontal="center" vertical="center" textRotation="45" wrapText="1"/>
      <protection hidden="1"/>
    </xf>
    <xf numFmtId="0" fontId="8" fillId="2" borderId="79" xfId="0" applyFont="1" applyFill="1" applyBorder="1" applyAlignment="1">
      <alignment horizontal="justify" vertical="center" wrapText="1"/>
    </xf>
    <xf numFmtId="0" fontId="8" fillId="2" borderId="80" xfId="0" applyFont="1" applyFill="1" applyBorder="1" applyAlignment="1">
      <alignment horizontal="justify" vertical="center" wrapText="1"/>
    </xf>
    <xf numFmtId="0" fontId="8" fillId="2" borderId="84" xfId="0" applyFont="1" applyFill="1" applyBorder="1" applyAlignment="1">
      <alignment horizontal="justify" vertical="center" wrapText="1"/>
    </xf>
    <xf numFmtId="181" fontId="4" fillId="2" borderId="0" xfId="0" applyNumberFormat="1" applyFont="1" applyFill="1" applyAlignment="1">
      <alignment horizontal="center" vertical="center" wrapText="1"/>
    </xf>
    <xf numFmtId="20" fontId="1" fillId="4" borderId="65" xfId="0" applyNumberFormat="1" applyFont="1" applyFill="1" applyBorder="1" applyAlignment="1">
      <alignment horizontal="center" vertical="center" wrapText="1"/>
    </xf>
    <xf numFmtId="20" fontId="27" fillId="4" borderId="65" xfId="0" applyNumberFormat="1" applyFont="1" applyFill="1" applyBorder="1" applyAlignment="1">
      <alignment horizontal="center" vertical="center" wrapText="1"/>
    </xf>
    <xf numFmtId="20" fontId="27" fillId="11" borderId="65" xfId="0" applyNumberFormat="1" applyFont="1" applyFill="1" applyBorder="1" applyAlignment="1">
      <alignment horizontal="center" vertical="center" wrapText="1"/>
    </xf>
    <xf numFmtId="20" fontId="27" fillId="11" borderId="82" xfId="0" applyNumberFormat="1" applyFont="1" applyFill="1" applyBorder="1" applyAlignment="1">
      <alignment horizontal="center" vertical="center" wrapText="1"/>
    </xf>
    <xf numFmtId="20" fontId="27" fillId="4" borderId="81" xfId="0" applyNumberFormat="1" applyFont="1" applyFill="1" applyBorder="1" applyAlignment="1">
      <alignment horizontal="center" vertical="center" wrapText="1"/>
    </xf>
    <xf numFmtId="20" fontId="1" fillId="4" borderId="82" xfId="0" applyNumberFormat="1" applyFont="1" applyFill="1" applyBorder="1" applyAlignment="1">
      <alignment horizontal="center" vertical="center" wrapText="1"/>
    </xf>
    <xf numFmtId="20" fontId="27" fillId="4" borderId="82" xfId="0" applyNumberFormat="1" applyFont="1" applyFill="1" applyBorder="1" applyAlignment="1">
      <alignment horizontal="center" vertical="center" wrapText="1"/>
    </xf>
    <xf numFmtId="20" fontId="22" fillId="2" borderId="0" xfId="0" applyNumberFormat="1" applyFont="1" applyFill="1" applyAlignment="1">
      <alignment vertical="center" wrapText="1"/>
    </xf>
    <xf numFmtId="0" fontId="17" fillId="9" borderId="36" xfId="0" applyFont="1" applyFill="1" applyBorder="1" applyAlignment="1">
      <alignment horizontal="center" vertical="center" wrapText="1"/>
    </xf>
    <xf numFmtId="0" fontId="22" fillId="2" borderId="0" xfId="0" applyFont="1" applyFill="1">
      <alignment vertical="center"/>
    </xf>
    <xf numFmtId="0" fontId="8" fillId="2" borderId="36" xfId="0" applyFont="1" applyFill="1" applyBorder="1" applyAlignment="1">
      <alignment horizontal="justify" vertical="center"/>
    </xf>
    <xf numFmtId="20" fontId="4" fillId="4" borderId="62" xfId="0" applyNumberFormat="1" applyFont="1" applyFill="1" applyBorder="1" applyAlignment="1">
      <alignment horizontal="center" vertical="center" wrapText="1"/>
    </xf>
    <xf numFmtId="20" fontId="4" fillId="4" borderId="63" xfId="0" applyNumberFormat="1" applyFont="1" applyFill="1" applyBorder="1" applyAlignment="1">
      <alignment horizontal="center" vertical="center" wrapText="1"/>
    </xf>
    <xf numFmtId="20" fontId="4" fillId="4" borderId="64" xfId="0" applyNumberFormat="1" applyFont="1" applyFill="1" applyBorder="1" applyAlignment="1">
      <alignment horizontal="center" vertical="center" wrapText="1"/>
    </xf>
    <xf numFmtId="185" fontId="4" fillId="2" borderId="0" xfId="0" applyNumberFormat="1" applyFont="1" applyFill="1" applyAlignment="1">
      <alignment horizontal="center" vertical="center" wrapText="1"/>
    </xf>
    <xf numFmtId="185" fontId="22" fillId="2" borderId="0" xfId="0" applyNumberFormat="1" applyFont="1" applyFill="1" applyAlignment="1">
      <alignment horizontal="center" vertical="center" wrapText="1"/>
    </xf>
    <xf numFmtId="20" fontId="28" fillId="11" borderId="65" xfId="0" applyNumberFormat="1" applyFont="1" applyFill="1" applyBorder="1" applyAlignment="1">
      <alignment horizontal="center" vertical="center" wrapText="1"/>
    </xf>
    <xf numFmtId="20" fontId="1" fillId="11" borderId="81" xfId="0" applyNumberFormat="1" applyFont="1" applyFill="1" applyBorder="1" applyAlignment="1">
      <alignment horizontal="center" vertical="center" wrapText="1"/>
    </xf>
    <xf numFmtId="20" fontId="1" fillId="11" borderId="48" xfId="0" applyNumberFormat="1" applyFont="1" applyFill="1" applyBorder="1" applyAlignment="1">
      <alignment horizontal="center" vertical="center" wrapText="1"/>
    </xf>
    <xf numFmtId="0" fontId="8" fillId="11" borderId="43" xfId="0" applyFont="1" applyFill="1" applyBorder="1" applyAlignment="1">
      <alignment horizontal="center" vertical="center" wrapText="1"/>
    </xf>
    <xf numFmtId="20" fontId="8" fillId="4" borderId="79" xfId="0" applyNumberFormat="1" applyFont="1" applyFill="1" applyBorder="1" applyAlignment="1">
      <alignment horizontal="center" vertical="center" wrapText="1"/>
    </xf>
    <xf numFmtId="0" fontId="8" fillId="4" borderId="104" xfId="0" applyFont="1" applyFill="1" applyBorder="1" applyAlignment="1">
      <alignment horizontal="center" vertical="center" wrapText="1"/>
    </xf>
    <xf numFmtId="0" fontId="29" fillId="2" borderId="110" xfId="0" applyFont="1" applyFill="1" applyBorder="1" applyAlignment="1">
      <alignment horizontal="center" vertical="center" wrapText="1"/>
    </xf>
    <xf numFmtId="0" fontId="29" fillId="2" borderId="111" xfId="0" applyFont="1" applyFill="1" applyBorder="1" applyAlignment="1">
      <alignment horizontal="center" vertical="center" wrapText="1"/>
    </xf>
    <xf numFmtId="0" fontId="29" fillId="2" borderId="112" xfId="0" applyFont="1" applyFill="1" applyBorder="1" applyAlignment="1">
      <alignment horizontal="center" vertical="center" wrapText="1"/>
    </xf>
    <xf numFmtId="0" fontId="1" fillId="2" borderId="114" xfId="0" applyFont="1" applyFill="1" applyBorder="1" applyAlignment="1">
      <alignment horizontal="left" vertical="center" wrapText="1"/>
    </xf>
    <xf numFmtId="0" fontId="1" fillId="2" borderId="126" xfId="0" applyFont="1" applyFill="1" applyBorder="1" applyAlignment="1">
      <alignment horizontal="left" vertical="center" wrapText="1"/>
    </xf>
    <xf numFmtId="0" fontId="1" fillId="2" borderId="115" xfId="0" applyFont="1" applyFill="1" applyBorder="1" applyAlignment="1">
      <alignment horizontal="left" vertical="center" wrapText="1"/>
    </xf>
    <xf numFmtId="0" fontId="1" fillId="0" borderId="102" xfId="0" applyFont="1" applyFill="1" applyBorder="1" applyAlignment="1">
      <alignment horizontal="left" vertical="center" wrapText="1"/>
    </xf>
    <xf numFmtId="0" fontId="1" fillId="0" borderId="103" xfId="0" applyFont="1" applyFill="1" applyBorder="1" applyAlignment="1">
      <alignment horizontal="left" vertical="center" wrapText="1"/>
    </xf>
    <xf numFmtId="0" fontId="1" fillId="0" borderId="104" xfId="0" applyFont="1" applyFill="1" applyBorder="1" applyAlignment="1">
      <alignment horizontal="left" vertical="center" wrapText="1"/>
    </xf>
    <xf numFmtId="0" fontId="0" fillId="0" borderId="0" xfId="0" applyAlignment="1">
      <alignment vertical="center"/>
    </xf>
    <xf numFmtId="0" fontId="1" fillId="2" borderId="125" xfId="0" applyFont="1" applyFill="1" applyBorder="1" applyAlignment="1">
      <alignment horizontal="left" vertical="center" wrapText="1"/>
    </xf>
    <xf numFmtId="0" fontId="1" fillId="2" borderId="109" xfId="0" applyFont="1" applyFill="1" applyBorder="1" applyAlignment="1">
      <alignment horizontal="left" vertical="center" wrapText="1"/>
    </xf>
    <xf numFmtId="0" fontId="1" fillId="2" borderId="129" xfId="0" applyFont="1" applyFill="1" applyBorder="1" applyAlignment="1">
      <alignment horizontal="left" vertical="center" wrapText="1"/>
    </xf>
    <xf numFmtId="0" fontId="4" fillId="11" borderId="1" xfId="0" applyFont="1" applyFill="1" applyBorder="1" applyAlignment="1" applyProtection="1">
      <alignment horizontal="left" vertical="center" wrapText="1"/>
      <protection locked="0"/>
    </xf>
    <xf numFmtId="183" fontId="4" fillId="11" borderId="1" xfId="0" applyNumberFormat="1" applyFont="1" applyFill="1" applyBorder="1" applyAlignment="1" applyProtection="1">
      <alignment horizontal="center" vertical="center" wrapText="1"/>
      <protection locked="0"/>
    </xf>
    <xf numFmtId="0" fontId="4" fillId="2" borderId="0" xfId="0" applyFont="1" applyFill="1" applyAlignment="1" applyProtection="1" quotePrefix="1">
      <alignment horizontal="center" vertical="center" wrapText="1"/>
      <protection hidden="1"/>
    </xf>
  </cellXfs>
  <cellStyles count="51">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 name="Normal 2" xfId="49"/>
    <cellStyle name="Normal 3" xfId="50"/>
  </cellStyles>
  <tableStyles count="0" defaultTableStyle="TableStyleMedium2" defaultPivotStyle="PivotStyleLight16"/>
  <colors>
    <mruColors>
      <color rgb="00F7F7F7"/>
      <color rgb="00DEDEDE"/>
      <color rgb="00FEC044"/>
      <color rgb="0068696A"/>
      <color rgb="00696969"/>
      <color rgb="00FFE285"/>
      <color rgb="0070A8DA"/>
      <color rgb="00C198E0"/>
      <color rgb="001D1DFF"/>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0" Type="http://schemas.openxmlformats.org/officeDocument/2006/relationships/styles" Target="styles.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theme" Target="theme/theme1.xml"/><Relationship Id="rId37" Type="http://schemas.openxmlformats.org/officeDocument/2006/relationships/customXml" Target="../customXml/item1.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9.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104"/>
  <sheetViews>
    <sheetView showGridLines="0" tabSelected="1" topLeftCell="A61" workbookViewId="0">
      <selection activeCell="E82" sqref="A73:E82"/>
    </sheetView>
  </sheetViews>
  <sheetFormatPr defaultColWidth="9.14285714285714" defaultRowHeight="15.75"/>
  <cols>
    <col min="1" max="3" width="28.8571428571429" style="186" customWidth="1"/>
    <col min="4" max="4" width="28.8571428571429" style="185" customWidth="1"/>
    <col min="5" max="5" width="28.8571428571429" style="186" customWidth="1"/>
    <col min="6" max="6" width="17.7142857142857" style="186" customWidth="1"/>
    <col min="7" max="7" width="15.7142857142857" style="185" customWidth="1"/>
    <col min="8" max="8" width="13.7142857142857" style="186" customWidth="1"/>
    <col min="9" max="9" width="15.7142857142857" style="186" customWidth="1"/>
    <col min="10" max="16384" width="9.14285714285714" style="186"/>
  </cols>
  <sheetData>
    <row r="1" s="324" customFormat="1" ht="33.75" customHeight="1" spans="1:11">
      <c r="A1" s="325" t="s">
        <v>0</v>
      </c>
      <c r="B1" s="326"/>
      <c r="C1" s="326"/>
      <c r="D1" s="326"/>
      <c r="E1" s="327"/>
    </row>
    <row r="2" s="324" customFormat="1" ht="75" customHeight="1" spans="1:11">
      <c r="A2" s="1072" t="s">
        <v>1</v>
      </c>
      <c r="B2" s="1073"/>
      <c r="C2" s="1073"/>
      <c r="D2" s="1073"/>
      <c r="E2" s="1074"/>
    </row>
    <row r="3" s="324" customFormat="1" ht="21" spans="1:11">
      <c r="A3" s="192" t="s">
        <v>2</v>
      </c>
      <c r="B3" s="491"/>
      <c r="C3" s="491"/>
      <c r="D3" s="491"/>
      <c r="E3" s="194"/>
    </row>
    <row r="4" s="587" customFormat="1" ht="50.1" customHeight="1" spans="1:11">
      <c r="A4" s="201" t="s">
        <v>3</v>
      </c>
      <c r="B4" s="201" t="s">
        <v>4</v>
      </c>
      <c r="C4" s="201" t="s">
        <v>5</v>
      </c>
      <c r="D4" s="201" t="s">
        <v>6</v>
      </c>
      <c r="E4" s="201" t="s">
        <v>7</v>
      </c>
      <c r="G4" s="181"/>
      <c r="H4" s="181"/>
      <c r="I4" s="181"/>
      <c r="J4" s="181"/>
    </row>
    <row r="5" s="587" customFormat="1" spans="1:11">
      <c r="A5" s="951" t="s">
        <v>8</v>
      </c>
      <c r="B5" s="556" t="s">
        <v>8</v>
      </c>
      <c r="C5" s="556" t="s">
        <v>8</v>
      </c>
      <c r="D5" s="556" t="s">
        <v>8</v>
      </c>
      <c r="E5" s="558">
        <v>0.222222222222222</v>
      </c>
      <c r="F5" s="857"/>
    </row>
    <row r="6" s="587" customFormat="1" ht="17.25" customHeight="1" spans="1:11">
      <c r="A6" s="831" t="s">
        <v>8</v>
      </c>
      <c r="B6" s="833" t="s">
        <v>8</v>
      </c>
      <c r="C6" s="833" t="s">
        <v>8</v>
      </c>
      <c r="D6" s="833" t="s">
        <v>8</v>
      </c>
      <c r="E6" s="834">
        <v>0.25</v>
      </c>
      <c r="F6" s="857"/>
      <c r="G6" s="187"/>
    </row>
    <row r="7" s="587" customFormat="1" ht="17.25" customHeight="1" spans="1:11">
      <c r="A7" s="951">
        <v>0.232638888888889</v>
      </c>
      <c r="B7" s="556">
        <v>0.25</v>
      </c>
      <c r="C7" s="556">
        <v>0.256944444444444</v>
      </c>
      <c r="D7" s="556">
        <v>0.263888888888889</v>
      </c>
      <c r="E7" s="558">
        <v>0.277777777777778</v>
      </c>
      <c r="F7" s="857"/>
      <c r="G7" s="187"/>
    </row>
    <row r="8" s="587" customFormat="1" ht="17.25" customHeight="1" spans="1:11">
      <c r="A8" s="831">
        <v>0.260416666666667</v>
      </c>
      <c r="B8" s="833">
        <v>0.277777777777778</v>
      </c>
      <c r="C8" s="833">
        <v>0.288194444444444</v>
      </c>
      <c r="D8" s="833">
        <v>0.291666666666667</v>
      </c>
      <c r="E8" s="834">
        <v>0.305555555555556</v>
      </c>
      <c r="F8" s="857"/>
      <c r="G8" s="1075"/>
    </row>
    <row r="9" s="587" customFormat="1" spans="1:11">
      <c r="A9" s="829">
        <v>0.288194444444444</v>
      </c>
      <c r="B9" s="454">
        <v>0.305555555555556</v>
      </c>
      <c r="C9" s="999" t="s">
        <v>8</v>
      </c>
      <c r="D9" s="454">
        <v>0.319444444444444</v>
      </c>
      <c r="E9" s="455">
        <v>0.333333333333333</v>
      </c>
      <c r="F9" s="857"/>
    </row>
    <row r="10" s="587" customFormat="1" spans="1:11">
      <c r="A10" s="831">
        <v>0.315972222222222</v>
      </c>
      <c r="B10" s="833">
        <v>0.333333333333333</v>
      </c>
      <c r="C10" s="833" t="s">
        <v>8</v>
      </c>
      <c r="D10" s="833">
        <v>0.347222222222222</v>
      </c>
      <c r="E10" s="834">
        <v>0.361111111111111</v>
      </c>
      <c r="F10" s="857"/>
    </row>
    <row r="11" s="587" customFormat="1" spans="1:11">
      <c r="A11" s="829">
        <v>0.34375</v>
      </c>
      <c r="B11" s="454">
        <v>0.361111111111111</v>
      </c>
      <c r="C11" s="454" t="s">
        <v>8</v>
      </c>
      <c r="D11" s="454">
        <v>0.375</v>
      </c>
      <c r="E11" s="455">
        <v>0.388888888888889</v>
      </c>
      <c r="F11" s="857"/>
    </row>
    <row r="12" s="587" customFormat="1" spans="1:11">
      <c r="A12" s="831">
        <v>0.371527777777778</v>
      </c>
      <c r="B12" s="833">
        <v>0.388888888888889</v>
      </c>
      <c r="C12" s="833" t="s">
        <v>8</v>
      </c>
      <c r="D12" s="833">
        <v>0.402777777777778</v>
      </c>
      <c r="E12" s="834">
        <v>0.416666666666667</v>
      </c>
      <c r="F12" s="857"/>
    </row>
    <row r="13" s="587" customFormat="1" spans="1:11">
      <c r="A13" s="829">
        <v>0.399305555555556</v>
      </c>
      <c r="B13" s="454">
        <v>0.416666666666667</v>
      </c>
      <c r="C13" s="454" t="s">
        <v>8</v>
      </c>
      <c r="D13" s="454">
        <v>0.430555555555556</v>
      </c>
      <c r="E13" s="455">
        <v>0.444444444444444</v>
      </c>
      <c r="F13" s="857"/>
    </row>
    <row r="14" s="587" customFormat="1" spans="1:11">
      <c r="A14" s="831">
        <v>0.427083333333333</v>
      </c>
      <c r="B14" s="833">
        <v>0.444444444444444</v>
      </c>
      <c r="C14" s="833" t="s">
        <v>8</v>
      </c>
      <c r="D14" s="833">
        <v>0.458333333333333</v>
      </c>
      <c r="E14" s="834">
        <v>0.472222222222222</v>
      </c>
      <c r="F14" s="857"/>
    </row>
    <row r="15" s="587" customFormat="1" spans="1:11">
      <c r="A15" s="829">
        <v>0.454861111111111</v>
      </c>
      <c r="B15" s="454">
        <v>0.472222222222222</v>
      </c>
      <c r="C15" s="454">
        <v>0.479166666666667</v>
      </c>
      <c r="D15" s="454">
        <v>0.486111111111111</v>
      </c>
      <c r="E15" s="455">
        <v>0.5</v>
      </c>
      <c r="F15" s="857"/>
    </row>
    <row r="16" s="587" customFormat="1" spans="1:11">
      <c r="A16" s="831">
        <v>0.482638888888889</v>
      </c>
      <c r="B16" s="1076">
        <v>0.5</v>
      </c>
      <c r="C16" s="833" t="s">
        <v>8</v>
      </c>
      <c r="D16" s="1077">
        <v>0.513888888888889</v>
      </c>
      <c r="E16" s="834">
        <v>0.527777777777778</v>
      </c>
      <c r="F16" s="857"/>
      <c r="K16" s="187"/>
    </row>
    <row r="17" s="587" customFormat="1" spans="1:11">
      <c r="A17" s="829">
        <v>0.510416666666667</v>
      </c>
      <c r="B17" s="454">
        <v>0.527777777777778</v>
      </c>
      <c r="C17" s="999" t="s">
        <v>8</v>
      </c>
      <c r="D17" s="454">
        <v>0.541666666666667</v>
      </c>
      <c r="E17" s="455">
        <v>0.555555555555556</v>
      </c>
      <c r="F17" s="857"/>
    </row>
    <row r="18" s="587" customFormat="1" spans="1:11">
      <c r="A18" s="831">
        <v>0.538194444444444</v>
      </c>
      <c r="B18" s="560">
        <v>0.555555555555556</v>
      </c>
      <c r="C18" s="833" t="s">
        <v>8</v>
      </c>
      <c r="D18" s="833">
        <v>0.569444444444444</v>
      </c>
      <c r="E18" s="834">
        <v>0.583333333333333</v>
      </c>
      <c r="F18" s="857"/>
      <c r="G18" s="187"/>
      <c r="H18" s="187"/>
      <c r="I18" s="187"/>
      <c r="J18" s="187"/>
    </row>
    <row r="19" s="587" customFormat="1" spans="1:11">
      <c r="A19" s="829">
        <v>0.565972222222222</v>
      </c>
      <c r="B19" s="454">
        <v>0.583333333333333</v>
      </c>
      <c r="C19" s="454" t="s">
        <v>8</v>
      </c>
      <c r="D19" s="454">
        <v>0.597222222222222</v>
      </c>
      <c r="E19" s="455">
        <v>0.611111111111111</v>
      </c>
      <c r="F19" s="857"/>
    </row>
    <row r="20" s="587" customFormat="1" spans="1:11">
      <c r="A20" s="833">
        <v>0.59375</v>
      </c>
      <c r="B20" s="833">
        <v>0.611111111111111</v>
      </c>
      <c r="C20" s="833" t="s">
        <v>8</v>
      </c>
      <c r="D20" s="833">
        <v>0.625</v>
      </c>
      <c r="E20" s="834">
        <v>0.638888888888889</v>
      </c>
      <c r="F20" s="857"/>
      <c r="G20" s="187"/>
      <c r="H20" s="187"/>
      <c r="I20" s="187"/>
      <c r="J20" s="187"/>
    </row>
    <row r="21" s="587" customFormat="1" ht="17.1" customHeight="1" spans="1:11">
      <c r="A21" s="829">
        <v>0.621527777777778</v>
      </c>
      <c r="B21" s="454">
        <v>0.638888888888889</v>
      </c>
      <c r="C21" s="454" t="s">
        <v>8</v>
      </c>
      <c r="D21" s="454">
        <v>0.652777777777778</v>
      </c>
      <c r="E21" s="455">
        <v>0.666666666666667</v>
      </c>
      <c r="F21" s="857"/>
    </row>
    <row r="22" s="587" customFormat="1" spans="1:11">
      <c r="A22" s="831">
        <v>0.649305555555556</v>
      </c>
      <c r="B22" s="833">
        <v>0.666666666666667</v>
      </c>
      <c r="C22" s="833" t="s">
        <v>8</v>
      </c>
      <c r="D22" s="833">
        <v>0.680555555555556</v>
      </c>
      <c r="E22" s="834">
        <v>0.694444444444444</v>
      </c>
      <c r="F22" s="857"/>
    </row>
    <row r="23" s="587" customFormat="1" spans="1:11">
      <c r="A23" s="1009">
        <v>0.677083333333333</v>
      </c>
      <c r="B23" s="1029">
        <v>0.694444444444445</v>
      </c>
      <c r="C23" s="454" t="s">
        <v>8</v>
      </c>
      <c r="D23" s="454">
        <v>0.708333333333333</v>
      </c>
      <c r="E23" s="455">
        <v>0.722222222222222</v>
      </c>
      <c r="F23" s="857"/>
      <c r="K23" s="187"/>
    </row>
    <row r="24" s="586" customFormat="1" ht="16.5" spans="1:11">
      <c r="A24" s="831">
        <v>0.704861111111111</v>
      </c>
      <c r="B24" s="833">
        <v>0.722222222222222</v>
      </c>
      <c r="C24" s="833" t="s">
        <v>8</v>
      </c>
      <c r="D24" s="833">
        <v>0.736111111111111</v>
      </c>
      <c r="E24" s="834">
        <v>0.75</v>
      </c>
      <c r="F24" s="857"/>
    </row>
    <row r="25" s="586" customFormat="1" ht="15" customHeight="1" spans="1:11">
      <c r="A25" s="1009">
        <v>0.732638888888889</v>
      </c>
      <c r="B25" s="1078">
        <v>0.75</v>
      </c>
      <c r="C25" s="454">
        <v>0.756944444444445</v>
      </c>
      <c r="D25" s="454">
        <v>0.763888888888889</v>
      </c>
      <c r="E25" s="455">
        <v>0.777777777777778</v>
      </c>
      <c r="F25" s="857"/>
      <c r="K25" s="187"/>
    </row>
    <row r="26" s="586" customFormat="1" ht="16.5" spans="1:11">
      <c r="A26" s="831">
        <v>0.760416666666667</v>
      </c>
      <c r="B26" s="833">
        <v>0.777777777777778</v>
      </c>
      <c r="C26" s="833" t="s">
        <v>8</v>
      </c>
      <c r="D26" s="833">
        <v>0.791666666666667</v>
      </c>
      <c r="E26" s="834">
        <v>0.805555555555556</v>
      </c>
      <c r="F26" s="857"/>
      <c r="K26" s="187"/>
    </row>
    <row r="27" s="586" customFormat="1" ht="16.5" spans="1:11">
      <c r="A27" s="1009">
        <v>0.788194444444444</v>
      </c>
      <c r="B27" s="1029">
        <v>0.805555555555555</v>
      </c>
      <c r="C27" s="1020" t="s">
        <v>8</v>
      </c>
      <c r="D27" s="454">
        <v>0.819444444444444</v>
      </c>
      <c r="E27" s="455">
        <v>0.833333333333333</v>
      </c>
      <c r="F27" s="857"/>
    </row>
    <row r="28" s="586" customFormat="1" ht="16.5" spans="1:11">
      <c r="A28" s="831">
        <v>0.815972222222222</v>
      </c>
      <c r="B28" s="833">
        <v>0.833333333333333</v>
      </c>
      <c r="C28" s="833" t="s">
        <v>8</v>
      </c>
      <c r="D28" s="833">
        <v>0.847222222222222</v>
      </c>
      <c r="E28" s="834">
        <v>0.861111111111111</v>
      </c>
      <c r="F28" s="857"/>
    </row>
    <row r="29" s="586" customFormat="1" ht="16.5" spans="1:11">
      <c r="A29" s="835">
        <v>0.84375</v>
      </c>
      <c r="B29" s="454">
        <v>0.861111111111111</v>
      </c>
      <c r="C29" s="1020" t="s">
        <v>8</v>
      </c>
      <c r="D29" s="454">
        <v>0.875</v>
      </c>
      <c r="E29" s="455">
        <v>0.888888888888889</v>
      </c>
      <c r="F29" s="857"/>
    </row>
    <row r="30" s="586" customFormat="1" ht="16.5" spans="1:11">
      <c r="A30" s="1021">
        <v>0.871527777777778</v>
      </c>
      <c r="B30" s="833">
        <v>0.888888888888889</v>
      </c>
      <c r="C30" s="833" t="s">
        <v>8</v>
      </c>
      <c r="D30" s="1077">
        <v>0.902777777777778</v>
      </c>
      <c r="E30" s="834">
        <v>0.916666666666667</v>
      </c>
      <c r="F30" s="857"/>
    </row>
    <row r="31" s="586" customFormat="1" ht="16.5" spans="1:11">
      <c r="A31" s="1022">
        <v>0.902777777777778</v>
      </c>
      <c r="B31" s="959">
        <v>0.916666666666667</v>
      </c>
      <c r="C31" s="959" t="s">
        <v>8</v>
      </c>
      <c r="D31" s="1079">
        <v>0.930555555555555</v>
      </c>
      <c r="E31" s="960">
        <v>0.944444444444445</v>
      </c>
      <c r="F31" s="857"/>
    </row>
    <row r="32" s="586" customFormat="1" ht="16.5" spans="1:11">
      <c r="A32" s="1080">
        <v>0.927083333333333</v>
      </c>
      <c r="B32" s="1081">
        <v>0.944444444444445</v>
      </c>
      <c r="C32" s="956" t="s">
        <v>8</v>
      </c>
      <c r="D32" s="1082">
        <v>0.961805555555555</v>
      </c>
      <c r="E32" s="957">
        <v>0.972222222222222</v>
      </c>
    </row>
    <row r="33" s="586" customFormat="1" ht="16.5" spans="1:11">
      <c r="A33" s="1022">
        <v>0.954861111111111</v>
      </c>
      <c r="B33" s="959">
        <v>0.972222222222222</v>
      </c>
      <c r="C33" s="959"/>
      <c r="D33" s="959"/>
      <c r="E33" s="960"/>
      <c r="F33" s="857"/>
    </row>
    <row r="34" s="586" customFormat="1" ht="17.25" spans="1:11">
      <c r="A34" s="1080">
        <v>0.982638888888889</v>
      </c>
      <c r="B34" s="978">
        <v>0</v>
      </c>
      <c r="C34" s="978" t="s">
        <v>8</v>
      </c>
      <c r="D34" s="978" t="s">
        <v>8</v>
      </c>
      <c r="E34" s="979" t="s">
        <v>8</v>
      </c>
      <c r="F34" s="857"/>
      <c r="G34" s="1083"/>
    </row>
    <row r="35" s="586" customFormat="1" ht="5.1" customHeight="1" spans="1:11">
      <c r="A35" s="694"/>
      <c r="B35" s="694"/>
      <c r="C35" s="694"/>
      <c r="D35" s="694"/>
      <c r="E35" s="694"/>
      <c r="F35" s="857"/>
    </row>
    <row r="36" s="586" customFormat="1" ht="28.5" customHeight="1" spans="1:11">
      <c r="A36" s="1084" t="s">
        <v>0</v>
      </c>
      <c r="B36" s="1084"/>
      <c r="C36" s="1084"/>
      <c r="D36" s="1084"/>
      <c r="E36" s="1084"/>
      <c r="F36" s="1084"/>
      <c r="H36" s="1085"/>
    </row>
    <row r="37" s="586" customFormat="1" ht="101.25" customHeight="1" spans="1:11">
      <c r="A37" s="1086" t="s">
        <v>9</v>
      </c>
      <c r="B37" s="1086"/>
      <c r="C37" s="1086"/>
      <c r="D37" s="1086"/>
      <c r="E37" s="1086"/>
      <c r="F37" s="1086"/>
    </row>
    <row r="38" s="586" customFormat="1" ht="24.75" customHeight="1" spans="1:11">
      <c r="A38" s="438" t="s">
        <v>10</v>
      </c>
      <c r="B38" s="193"/>
      <c r="C38" s="193"/>
      <c r="D38" s="193"/>
      <c r="E38" s="193"/>
      <c r="F38" s="490"/>
    </row>
    <row r="39" s="586" customFormat="1" ht="63.75" spans="1:11">
      <c r="A39" s="201" t="s">
        <v>3</v>
      </c>
      <c r="B39" s="201" t="s">
        <v>4</v>
      </c>
      <c r="C39" s="201" t="s">
        <v>11</v>
      </c>
      <c r="D39" s="201" t="s">
        <v>6</v>
      </c>
      <c r="E39" s="201" t="s">
        <v>12</v>
      </c>
      <c r="F39" s="201" t="s">
        <v>7</v>
      </c>
    </row>
    <row r="40" s="587" customFormat="1" spans="1:11">
      <c r="A40" s="1087"/>
      <c r="B40" s="1088"/>
      <c r="C40" s="1088"/>
      <c r="D40" s="1088">
        <v>0.625</v>
      </c>
      <c r="E40" s="1088">
        <v>0.631944444444444</v>
      </c>
      <c r="F40" s="1089">
        <v>0.638888888888889</v>
      </c>
      <c r="G40" s="187"/>
      <c r="I40" s="187"/>
      <c r="J40" s="187"/>
    </row>
    <row r="41" s="587" customFormat="1" ht="17.1" customHeight="1" spans="1:11">
      <c r="A41" s="829"/>
      <c r="B41" s="454"/>
      <c r="C41" s="454" t="s">
        <v>8</v>
      </c>
      <c r="D41" s="454">
        <v>0.652777777777778</v>
      </c>
      <c r="E41" s="454">
        <v>0.659722222222222</v>
      </c>
      <c r="F41" s="455">
        <v>0.666666666666667</v>
      </c>
      <c r="H41" s="1090"/>
    </row>
    <row r="42" s="587" customFormat="1" spans="1:11">
      <c r="A42" s="831">
        <v>0.649305555555556</v>
      </c>
      <c r="B42" s="833">
        <v>0.666666666666667</v>
      </c>
      <c r="C42" s="833" t="s">
        <v>8</v>
      </c>
      <c r="D42" s="833">
        <v>0.680555555555556</v>
      </c>
      <c r="E42" s="833">
        <v>0.6875</v>
      </c>
      <c r="F42" s="834">
        <v>0.694444444444444</v>
      </c>
      <c r="H42" s="1090"/>
    </row>
    <row r="43" s="587" customFormat="1" spans="1:11">
      <c r="A43" s="1009">
        <v>0.677083333333333</v>
      </c>
      <c r="B43" s="1029">
        <v>0.694444444444445</v>
      </c>
      <c r="C43" s="454" t="s">
        <v>8</v>
      </c>
      <c r="D43" s="454">
        <v>0.708333333333333</v>
      </c>
      <c r="E43" s="454">
        <v>0.715277777777778</v>
      </c>
      <c r="F43" s="455">
        <v>0.722222222222222</v>
      </c>
      <c r="H43" s="1090"/>
      <c r="K43" s="187"/>
    </row>
    <row r="44" s="586" customFormat="1" ht="16.5" spans="1:11">
      <c r="A44" s="831">
        <v>0.704861111111111</v>
      </c>
      <c r="B44" s="833">
        <v>0.722222222222222</v>
      </c>
      <c r="C44" s="833" t="s">
        <v>8</v>
      </c>
      <c r="D44" s="833">
        <v>0.736111111111111</v>
      </c>
      <c r="E44" s="833">
        <v>0.743055555555555</v>
      </c>
      <c r="F44" s="834">
        <v>0.75</v>
      </c>
      <c r="H44" s="1091"/>
    </row>
    <row r="45" s="586" customFormat="1" ht="15" customHeight="1" spans="1:11">
      <c r="A45" s="1009">
        <v>0.732638888888889</v>
      </c>
      <c r="B45" s="1029">
        <v>0.75</v>
      </c>
      <c r="C45" s="1092">
        <v>0.760416666666667</v>
      </c>
      <c r="D45" s="454">
        <v>0.767361111111111</v>
      </c>
      <c r="E45" s="454">
        <v>0.770833333333333</v>
      </c>
      <c r="F45" s="455">
        <v>0.777777777777778</v>
      </c>
      <c r="H45" s="1091"/>
      <c r="K45" s="187"/>
    </row>
    <row r="46" s="586" customFormat="1" ht="16.5" spans="1:11">
      <c r="A46" s="831">
        <v>0.760416666666667</v>
      </c>
      <c r="B46" s="833">
        <v>0.777777777777778</v>
      </c>
      <c r="C46" s="833" t="s">
        <v>8</v>
      </c>
      <c r="D46" s="833">
        <v>0.791666666666667</v>
      </c>
      <c r="E46" s="833">
        <v>0.798611111111111</v>
      </c>
      <c r="F46" s="834">
        <v>0.805555555555556</v>
      </c>
      <c r="H46" s="1091"/>
      <c r="K46" s="187"/>
    </row>
    <row r="47" s="586" customFormat="1" ht="16.5" spans="1:11">
      <c r="A47" s="1009">
        <v>0.788194444444444</v>
      </c>
      <c r="B47" s="1029">
        <v>0.805555555555555</v>
      </c>
      <c r="C47" s="1020" t="s">
        <v>8</v>
      </c>
      <c r="D47" s="454">
        <v>0.819444444444444</v>
      </c>
      <c r="E47" s="454">
        <v>0.826388888888889</v>
      </c>
      <c r="F47" s="455">
        <v>0.833333333333333</v>
      </c>
      <c r="H47" s="1091"/>
    </row>
    <row r="48" s="586" customFormat="1" ht="16.5" spans="1:11">
      <c r="A48" s="831">
        <v>0.815972222222222</v>
      </c>
      <c r="B48" s="833">
        <v>0.833333333333333</v>
      </c>
      <c r="C48" s="833" t="s">
        <v>8</v>
      </c>
      <c r="D48" s="833">
        <v>0.847222222222222</v>
      </c>
      <c r="E48" s="833">
        <v>0.854166666666667</v>
      </c>
      <c r="F48" s="834">
        <v>0.861111111111111</v>
      </c>
      <c r="H48" s="1091"/>
    </row>
    <row r="49" s="586" customFormat="1" ht="16.5" spans="1:8">
      <c r="A49" s="1009">
        <v>0.84375</v>
      </c>
      <c r="B49" s="454">
        <v>0.861111111111111</v>
      </c>
      <c r="C49" s="1020" t="s">
        <v>8</v>
      </c>
      <c r="D49" s="454">
        <v>0.875</v>
      </c>
      <c r="E49" s="454">
        <v>0.881944444444445</v>
      </c>
      <c r="F49" s="455">
        <v>0.888888888888889</v>
      </c>
      <c r="H49" s="1091"/>
    </row>
    <row r="50" s="586" customFormat="1" ht="16.5" spans="1:8">
      <c r="A50" s="1010">
        <v>0.871527777777778</v>
      </c>
      <c r="B50" s="833">
        <v>0.888888888888889</v>
      </c>
      <c r="C50" s="833" t="s">
        <v>8</v>
      </c>
      <c r="D50" s="1076">
        <v>0.902777777777778</v>
      </c>
      <c r="E50" s="833"/>
      <c r="F50" s="834"/>
      <c r="H50" s="1091"/>
    </row>
    <row r="51" s="586" customFormat="1" ht="16.5" spans="1:8">
      <c r="A51" s="1093">
        <v>0.902777777777778</v>
      </c>
      <c r="B51" s="959">
        <v>0.916666666666667</v>
      </c>
      <c r="C51" s="959" t="s">
        <v>8</v>
      </c>
      <c r="D51" s="1079">
        <v>0.930555555555555</v>
      </c>
      <c r="E51" s="454">
        <v>0.9375</v>
      </c>
      <c r="F51" s="960">
        <v>0.944444444444445</v>
      </c>
      <c r="H51" s="1091"/>
    </row>
    <row r="52" s="586" customFormat="1" ht="17.25" spans="1:8">
      <c r="A52" s="1094">
        <v>0.954861111111111</v>
      </c>
      <c r="B52" s="457">
        <v>0.972222222222222</v>
      </c>
      <c r="C52" s="457"/>
      <c r="D52" s="457"/>
      <c r="E52" s="457"/>
      <c r="F52" s="458"/>
    </row>
    <row r="53" s="586" customFormat="1" ht="5.1" customHeight="1" spans="1:8">
      <c r="A53" s="187"/>
      <c r="B53" s="187"/>
      <c r="C53" s="187"/>
      <c r="D53" s="187"/>
      <c r="E53" s="187"/>
      <c r="F53" s="857"/>
    </row>
    <row r="54" s="324" customFormat="1" spans="1:8">
      <c r="A54" s="872" t="s">
        <v>13</v>
      </c>
      <c r="B54" s="1095">
        <v>2038</v>
      </c>
    </row>
    <row r="55" s="324" customFormat="1" ht="16.5" spans="1:8">
      <c r="A55" s="1096" t="s">
        <v>14</v>
      </c>
      <c r="B55" s="1097">
        <v>2040</v>
      </c>
    </row>
    <row r="56" s="586" customFormat="1" ht="5.1" customHeight="1" spans="1:8">
      <c r="A56" s="187"/>
      <c r="B56" s="187"/>
      <c r="C56" s="187"/>
      <c r="D56" s="187"/>
      <c r="E56" s="187"/>
      <c r="F56" s="857"/>
    </row>
    <row r="57" s="324" customFormat="1" ht="27.75" customHeight="1" spans="1:8">
      <c r="A57" s="1098" t="s">
        <v>15</v>
      </c>
      <c r="B57" s="1099"/>
      <c r="C57" s="1099"/>
      <c r="D57" s="1099"/>
      <c r="E57" s="1100"/>
    </row>
    <row r="58" s="324" customFormat="1" ht="5.1" customHeight="1" spans="1:8">
      <c r="A58" s="658"/>
      <c r="B58" s="658"/>
      <c r="C58" s="658"/>
      <c r="D58" s="658"/>
      <c r="E58" s="658"/>
    </row>
    <row r="59" s="324" customFormat="1" ht="30" customHeight="1" spans="1:8">
      <c r="A59" s="699" t="s">
        <v>16</v>
      </c>
      <c r="B59" s="700"/>
      <c r="C59" s="700"/>
      <c r="D59" s="700"/>
      <c r="E59" s="701"/>
    </row>
    <row r="60" s="324" customFormat="1" ht="56.25" customHeight="1" spans="1:8">
      <c r="A60" s="896" t="s">
        <v>17</v>
      </c>
      <c r="B60" s="897"/>
      <c r="C60" s="897"/>
      <c r="D60" s="897"/>
      <c r="E60" s="898"/>
    </row>
    <row r="61" s="324" customFormat="1" ht="56.25" customHeight="1" spans="1:8">
      <c r="A61" s="1101" t="s">
        <v>18</v>
      </c>
      <c r="B61" s="1102"/>
      <c r="C61" s="1102"/>
      <c r="D61" s="1102"/>
      <c r="E61" s="1103"/>
    </row>
    <row r="62" s="324" customFormat="1" ht="56.25" customHeight="1" spans="1:8">
      <c r="A62" s="1104" t="s">
        <v>19</v>
      </c>
      <c r="B62" s="1105"/>
      <c r="C62" s="1105"/>
      <c r="D62" s="1105"/>
      <c r="E62" s="1106"/>
      <c r="F62" s="1107"/>
      <c r="G62" s="651"/>
    </row>
    <row r="63" s="324" customFormat="1" ht="5.1" customHeight="1" spans="1:8">
      <c r="A63" s="871"/>
      <c r="B63" s="871"/>
      <c r="C63" s="871"/>
      <c r="D63" s="871"/>
      <c r="E63" s="871"/>
    </row>
    <row r="64" customFormat="1" ht="30" customHeight="1" spans="1:8">
      <c r="A64" s="727" t="s">
        <v>20</v>
      </c>
      <c r="B64" s="728"/>
      <c r="C64" s="728"/>
      <c r="D64" s="728"/>
      <c r="E64" s="729"/>
    </row>
    <row r="65" customFormat="1" ht="35.1" customHeight="1" spans="1:9">
      <c r="A65" s="1108" t="s">
        <v>21</v>
      </c>
      <c r="B65" s="1109"/>
      <c r="C65" s="1109"/>
      <c r="D65" s="1109"/>
      <c r="E65" s="1110"/>
    </row>
    <row r="66" customFormat="1" ht="54" customHeight="1" spans="1:9">
      <c r="A66" s="1101" t="s">
        <v>22</v>
      </c>
      <c r="B66" s="1102"/>
      <c r="C66" s="1102"/>
      <c r="D66" s="1102"/>
      <c r="E66" s="1103"/>
    </row>
    <row r="67" customFormat="1" ht="57.75" customHeight="1" spans="1:9">
      <c r="A67" s="1101" t="s">
        <v>23</v>
      </c>
      <c r="B67" s="1102"/>
      <c r="C67" s="1102"/>
      <c r="D67" s="1102"/>
      <c r="E67" s="1103"/>
    </row>
    <row r="68" s="324" customFormat="1" ht="72" customHeight="1" spans="1:9">
      <c r="A68" s="948" t="s">
        <v>24</v>
      </c>
      <c r="B68" s="949"/>
      <c r="C68" s="949"/>
      <c r="D68" s="949"/>
      <c r="E68" s="950"/>
    </row>
    <row r="69" s="324" customFormat="1" ht="5.1" customHeight="1" spans="1:9">
      <c r="A69" s="871"/>
      <c r="B69" s="871"/>
      <c r="C69" s="871"/>
      <c r="D69" s="871"/>
      <c r="E69" s="871"/>
    </row>
    <row r="70" s="324" customFormat="1" spans="1:9">
      <c r="A70" s="872" t="s">
        <v>13</v>
      </c>
      <c r="B70" s="1095">
        <v>2038</v>
      </c>
    </row>
    <row r="71" s="324" customFormat="1" ht="16.5" spans="1:9">
      <c r="A71" s="1096" t="s">
        <v>14</v>
      </c>
      <c r="B71" s="1097">
        <v>2040</v>
      </c>
    </row>
    <row r="72" s="182" customFormat="1" ht="5.1" customHeight="1" spans="1:9">
      <c r="C72" s="212"/>
      <c r="D72" s="213"/>
      <c r="E72" s="212"/>
      <c r="F72" s="212"/>
      <c r="G72" s="213"/>
      <c r="H72" s="212"/>
      <c r="I72" s="212"/>
    </row>
    <row r="73" s="184" customFormat="1" ht="24.95" customHeight="1" spans="1:9">
      <c r="A73" s="258"/>
      <c r="B73" s="259"/>
      <c r="C73" s="259"/>
      <c r="D73" s="259"/>
      <c r="E73" s="259"/>
    </row>
    <row r="74" spans="1:9">
      <c r="A74" s="260"/>
      <c r="B74" s="260"/>
      <c r="C74" s="261"/>
      <c r="D74" s="262"/>
      <c r="E74" s="262"/>
      <c r="G74" s="186"/>
    </row>
    <row r="75" ht="30" customHeight="1" spans="1:9">
      <c r="A75" s="328"/>
      <c r="B75" s="265"/>
      <c r="C75" s="266"/>
      <c r="D75" s="267"/>
      <c r="E75" s="268"/>
      <c r="G75" s="329"/>
    </row>
    <row r="76" ht="30" customHeight="1" spans="1:9">
      <c r="A76" s="330"/>
      <c r="B76" s="265"/>
      <c r="C76" s="266"/>
      <c r="D76" s="267"/>
      <c r="E76" s="268"/>
      <c r="G76" s="329"/>
    </row>
    <row r="77" ht="37.5" customHeight="1" spans="1:9">
      <c r="A77" s="330"/>
      <c r="B77" s="265"/>
      <c r="C77" s="266"/>
      <c r="D77" s="267"/>
      <c r="E77" s="268"/>
      <c r="G77" s="329"/>
    </row>
    <row r="78" ht="42.75" customHeight="1" spans="1:9">
      <c r="A78" s="330"/>
      <c r="B78" s="1111"/>
      <c r="C78" s="1112"/>
      <c r="D78" s="303"/>
      <c r="E78" s="619"/>
      <c r="G78" s="329"/>
    </row>
    <row r="79" ht="30" customHeight="1" spans="1:9">
      <c r="A79" s="330"/>
      <c r="B79" s="265"/>
      <c r="C79" s="266"/>
      <c r="D79" s="303"/>
      <c r="E79" s="619"/>
      <c r="G79" s="329"/>
    </row>
    <row r="80" ht="30" customHeight="1" spans="1:9">
      <c r="A80" s="330"/>
      <c r="B80" s="265"/>
      <c r="C80" s="266"/>
      <c r="D80" s="303"/>
      <c r="E80" s="619"/>
      <c r="G80" s="329"/>
    </row>
    <row r="81" ht="30" customHeight="1" spans="1:7">
      <c r="A81" s="330"/>
      <c r="B81" s="265"/>
      <c r="C81" s="266"/>
      <c r="D81" s="303"/>
      <c r="E81" s="619"/>
      <c r="G81" s="329"/>
    </row>
    <row r="82" ht="38.25" customHeight="1" spans="1:7">
      <c r="A82" s="331"/>
      <c r="B82" s="1111"/>
      <c r="C82" s="1112"/>
      <c r="D82" s="303"/>
      <c r="E82" s="619"/>
      <c r="G82" s="329"/>
    </row>
    <row r="83" ht="30" customHeight="1" spans="1:7">
      <c r="A83" s="683"/>
      <c r="B83" s="684"/>
      <c r="C83" s="347"/>
      <c r="D83" s="348"/>
      <c r="E83" s="349"/>
      <c r="G83" s="186"/>
    </row>
    <row r="84" ht="30" customHeight="1" spans="1:7">
      <c r="A84" s="683"/>
      <c r="B84" s="684"/>
      <c r="C84" s="347"/>
      <c r="D84" s="348"/>
      <c r="E84" s="349"/>
      <c r="G84" s="186"/>
    </row>
    <row r="85" ht="30" customHeight="1" spans="1:7">
      <c r="A85" s="683"/>
      <c r="B85" s="684"/>
      <c r="C85" s="347"/>
      <c r="D85" s="348"/>
      <c r="E85" s="349"/>
      <c r="G85" s="186"/>
    </row>
    <row r="86" ht="30" customHeight="1" spans="1:7">
      <c r="A86" s="683"/>
      <c r="B86" s="684"/>
      <c r="C86" s="347"/>
      <c r="D86" s="348"/>
      <c r="E86" s="349"/>
      <c r="G86" s="186"/>
    </row>
    <row r="87" ht="30" customHeight="1" spans="1:7">
      <c r="A87" s="683"/>
      <c r="B87" s="684"/>
      <c r="C87" s="347"/>
      <c r="D87" s="348"/>
      <c r="E87" s="349"/>
      <c r="G87" s="186"/>
    </row>
    <row r="88" ht="30" customHeight="1" spans="1:7">
      <c r="A88" s="264"/>
      <c r="B88" s="498"/>
      <c r="C88" s="266"/>
      <c r="D88" s="267"/>
      <c r="E88" s="268"/>
      <c r="G88" s="186"/>
    </row>
    <row r="89" ht="30" customHeight="1" spans="1:7">
      <c r="A89" s="264"/>
      <c r="B89" s="498"/>
      <c r="C89" s="266"/>
      <c r="D89" s="267"/>
      <c r="E89" s="268"/>
      <c r="G89" s="186"/>
    </row>
    <row r="90" ht="50.1" customHeight="1" spans="1:7">
      <c r="A90" s="264"/>
      <c r="B90" s="498"/>
      <c r="C90" s="266"/>
      <c r="D90" s="267"/>
      <c r="E90" s="268"/>
      <c r="G90" s="186"/>
    </row>
    <row r="91" ht="49.5" customHeight="1" spans="1:7">
      <c r="A91" s="264"/>
      <c r="B91" s="498"/>
      <c r="C91" s="266"/>
      <c r="D91" s="267"/>
      <c r="E91" s="268"/>
      <c r="G91" s="186"/>
    </row>
    <row r="92" ht="30" customHeight="1" spans="1:7">
      <c r="A92" s="264"/>
      <c r="B92" s="498"/>
      <c r="C92" s="266"/>
      <c r="D92" s="267"/>
      <c r="E92" s="268"/>
      <c r="G92" s="186"/>
    </row>
    <row r="93" ht="30" customHeight="1" spans="1:7">
      <c r="A93" s="264"/>
      <c r="B93" s="498"/>
      <c r="C93" s="266"/>
      <c r="D93" s="267"/>
      <c r="E93" s="268"/>
      <c r="G93" s="186"/>
    </row>
    <row r="94" ht="7.5" customHeight="1" spans="1:7">
      <c r="A94" s="269"/>
      <c r="B94" s="270"/>
      <c r="C94" s="271"/>
      <c r="D94" s="272"/>
      <c r="E94" s="272"/>
      <c r="G94" s="186"/>
    </row>
    <row r="95" ht="24.95" customHeight="1" spans="1:7">
      <c r="A95" s="730"/>
      <c r="B95" s="600"/>
      <c r="C95" s="600"/>
      <c r="D95" s="600"/>
      <c r="E95" s="600"/>
    </row>
    <row r="96" ht="24.95" customHeight="1" spans="1:7">
      <c r="A96" s="731"/>
      <c r="B96" s="731"/>
      <c r="C96" s="731"/>
      <c r="D96" s="731"/>
      <c r="E96" s="731"/>
    </row>
    <row r="97" ht="20.1" customHeight="1" spans="1:5">
      <c r="A97" s="280"/>
      <c r="B97" s="280"/>
      <c r="C97" s="281"/>
      <c r="D97" s="282"/>
      <c r="E97" s="408"/>
    </row>
    <row r="98" ht="20.1" customHeight="1" spans="1:5">
      <c r="A98" s="280"/>
      <c r="B98" s="280"/>
      <c r="C98" s="281"/>
      <c r="D98" s="282"/>
      <c r="E98" s="503"/>
    </row>
    <row r="99" ht="20.1" customHeight="1" spans="1:5">
      <c r="A99" s="280"/>
      <c r="B99" s="280"/>
      <c r="C99" s="281"/>
      <c r="D99" s="282"/>
      <c r="E99" s="504"/>
    </row>
    <row r="100" ht="17.25" spans="1:5">
      <c r="A100" s="280"/>
      <c r="B100" s="280"/>
      <c r="C100" s="281"/>
      <c r="D100" s="282"/>
      <c r="E100" s="505"/>
    </row>
    <row r="101" spans="1:5">
      <c r="E101" s="931"/>
    </row>
    <row r="102" spans="1:5">
      <c r="E102" s="931"/>
    </row>
    <row r="103" spans="1:5">
      <c r="E103" s="682"/>
    </row>
    <row r="104" spans="1:5">
      <c r="E104" s="682"/>
    </row>
  </sheetData>
  <mergeCells count="29">
    <mergeCell ref="A1:E1"/>
    <mergeCell ref="A2:E2"/>
    <mergeCell ref="A3:E3"/>
    <mergeCell ref="A35:E35"/>
    <mergeCell ref="A36:F36"/>
    <mergeCell ref="A37:F37"/>
    <mergeCell ref="A38:F38"/>
    <mergeCell ref="A57:E57"/>
    <mergeCell ref="A58:E58"/>
    <mergeCell ref="A59:E59"/>
    <mergeCell ref="A60:E60"/>
    <mergeCell ref="A61:E61"/>
    <mergeCell ref="A62:E62"/>
    <mergeCell ref="A64:E64"/>
    <mergeCell ref="A65:E65"/>
    <mergeCell ref="A66:E66"/>
    <mergeCell ref="A67:E67"/>
    <mergeCell ref="A68:E68"/>
    <mergeCell ref="A73:E73"/>
    <mergeCell ref="A95:E95"/>
    <mergeCell ref="A96:B96"/>
    <mergeCell ref="A97:B97"/>
    <mergeCell ref="A98:B98"/>
    <mergeCell ref="A99:B99"/>
    <mergeCell ref="A100:B100"/>
    <mergeCell ref="A75:A82"/>
    <mergeCell ref="A83:A87"/>
    <mergeCell ref="A88:A93"/>
    <mergeCell ref="E98:E100"/>
  </mergeCells>
  <pageMargins left="1.18110236220472" right="0.748031496062992" top="0.590551181102362" bottom="0.196850393700787" header="0.511811023622047" footer="0.511811023622047"/>
  <pageSetup paperSize="9" scale="2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106"/>
  <sheetViews>
    <sheetView showGridLines="0" topLeftCell="A96" workbookViewId="0">
      <selection activeCell="F106" sqref="A74:F106"/>
    </sheetView>
  </sheetViews>
  <sheetFormatPr defaultColWidth="9.14285714285714" defaultRowHeight="15.75"/>
  <cols>
    <col min="1" max="3" width="28.1428571428571" style="186" customWidth="1"/>
    <col min="4" max="4" width="28.1428571428571" style="185" customWidth="1"/>
    <col min="5" max="5" width="28.1428571428571" style="186" customWidth="1"/>
    <col min="6" max="6" width="30.7142857142857" style="186" customWidth="1"/>
    <col min="7" max="7" width="30.7142857142857" style="185" customWidth="1"/>
    <col min="8" max="8" width="13.7142857142857" style="995" customWidth="1"/>
    <col min="9" max="9" width="15.7142857142857" style="186" customWidth="1"/>
    <col min="10" max="16384" width="9.14285714285714" style="186"/>
  </cols>
  <sheetData>
    <row r="1" s="324" customFormat="1" ht="31.5" customHeight="1" spans="1:8">
      <c r="A1" s="465" t="s">
        <v>25</v>
      </c>
      <c r="B1" s="409"/>
      <c r="C1" s="409"/>
      <c r="D1" s="409"/>
      <c r="E1" s="409"/>
      <c r="F1" s="409"/>
      <c r="G1" s="409"/>
      <c r="H1" s="884"/>
    </row>
    <row r="2" s="324" customFormat="1" ht="77" customHeight="1" spans="1:8">
      <c r="A2" s="204" t="s">
        <v>26</v>
      </c>
      <c r="B2" s="205"/>
      <c r="C2" s="205"/>
      <c r="D2" s="205"/>
      <c r="E2" s="205"/>
      <c r="F2" s="205"/>
      <c r="G2" s="205"/>
      <c r="H2" s="884"/>
    </row>
    <row r="3" s="324" customFormat="1" ht="31.5" customHeight="1" spans="1:8">
      <c r="A3" s="438" t="s">
        <v>27</v>
      </c>
      <c r="B3" s="193"/>
      <c r="C3" s="193"/>
      <c r="D3" s="193"/>
      <c r="E3" s="193"/>
      <c r="F3" s="193"/>
      <c r="G3" s="193"/>
      <c r="H3" s="884"/>
    </row>
    <row r="4" s="324" customFormat="1" ht="55.35" customHeight="1" spans="1:8">
      <c r="A4" s="218" t="s">
        <v>28</v>
      </c>
      <c r="B4" s="218" t="s">
        <v>29</v>
      </c>
      <c r="C4" s="218" t="s">
        <v>30</v>
      </c>
      <c r="D4" s="218" t="s">
        <v>31</v>
      </c>
      <c r="E4" s="218" t="s">
        <v>12</v>
      </c>
      <c r="F4" s="218" t="s">
        <v>6</v>
      </c>
      <c r="G4" s="649" t="s">
        <v>7</v>
      </c>
      <c r="H4" s="884"/>
    </row>
    <row r="5" s="324" customFormat="1" ht="20.1" customHeight="1" spans="1:8">
      <c r="A5" s="981" t="s">
        <v>8</v>
      </c>
      <c r="B5" s="982" t="s">
        <v>8</v>
      </c>
      <c r="C5" s="982" t="s">
        <v>8</v>
      </c>
      <c r="D5" s="996" t="s">
        <v>8</v>
      </c>
      <c r="E5" s="982" t="s">
        <v>8</v>
      </c>
      <c r="F5" s="982">
        <v>0.222222222222222</v>
      </c>
      <c r="G5" s="997">
        <v>0.236111111111111</v>
      </c>
      <c r="H5" s="884"/>
    </row>
    <row r="6" s="324" customFormat="1" ht="20.1" customHeight="1" spans="1:8">
      <c r="A6" s="998" t="s">
        <v>8</v>
      </c>
      <c r="B6" s="454" t="s">
        <v>8</v>
      </c>
      <c r="C6" s="454">
        <v>0.236111111111111</v>
      </c>
      <c r="D6" s="999" t="s">
        <v>8</v>
      </c>
      <c r="E6" s="454" t="s">
        <v>8</v>
      </c>
      <c r="F6" s="454">
        <v>0.25</v>
      </c>
      <c r="G6" s="1000">
        <v>0.263888888888889</v>
      </c>
      <c r="H6" s="884"/>
    </row>
    <row r="7" s="324" customFormat="1" ht="20.1" customHeight="1" spans="1:8">
      <c r="A7" s="831">
        <v>0.25</v>
      </c>
      <c r="B7" s="833" t="s">
        <v>8</v>
      </c>
      <c r="C7" s="833">
        <v>0.263888888888889</v>
      </c>
      <c r="D7" s="1001" t="s">
        <v>8</v>
      </c>
      <c r="E7" s="833" t="s">
        <v>8</v>
      </c>
      <c r="F7" s="833">
        <v>0.277777777777778</v>
      </c>
      <c r="G7" s="1002">
        <v>0.291666666666667</v>
      </c>
      <c r="H7" s="884"/>
    </row>
    <row r="8" s="324" customFormat="1" ht="20.1" customHeight="1" spans="1:8">
      <c r="A8" s="1003">
        <v>0.260416666666667</v>
      </c>
      <c r="B8" s="1004" t="s">
        <v>8</v>
      </c>
      <c r="C8" s="1004">
        <v>0.274305555555556</v>
      </c>
      <c r="D8" s="1004" t="s">
        <v>8</v>
      </c>
      <c r="E8" s="1004" t="s">
        <v>8</v>
      </c>
      <c r="F8" s="1004">
        <v>0.288194444444444</v>
      </c>
      <c r="G8" s="1005" t="s">
        <v>8</v>
      </c>
      <c r="H8" s="884"/>
    </row>
    <row r="9" s="324" customFormat="1" ht="20.1" customHeight="1" spans="1:8">
      <c r="A9" s="829">
        <v>0.277777777777778</v>
      </c>
      <c r="B9" s="454" t="s">
        <v>8</v>
      </c>
      <c r="C9" s="454">
        <v>0.291666666666667</v>
      </c>
      <c r="D9" s="454">
        <v>0.302083333333333</v>
      </c>
      <c r="E9" s="454" t="s">
        <v>8</v>
      </c>
      <c r="F9" s="454">
        <v>0.305555555555556</v>
      </c>
      <c r="G9" s="1000">
        <v>0.319444444444444</v>
      </c>
      <c r="H9" s="884"/>
    </row>
    <row r="10" s="324" customFormat="1" ht="20.1" customHeight="1" spans="1:8">
      <c r="A10" s="1006">
        <v>0.288194444444444</v>
      </c>
      <c r="B10" s="1007" t="s">
        <v>8</v>
      </c>
      <c r="C10" s="1007">
        <v>0.302083333333333</v>
      </c>
      <c r="D10" s="1007" t="s">
        <v>8</v>
      </c>
      <c r="E10" s="1007" t="s">
        <v>8</v>
      </c>
      <c r="F10" s="1007">
        <v>0.315972222222222</v>
      </c>
      <c r="G10" s="1008" t="s">
        <v>8</v>
      </c>
      <c r="H10" s="884"/>
    </row>
    <row r="11" s="324" customFormat="1" ht="20.1" customHeight="1" spans="1:8">
      <c r="A11" s="831">
        <v>0.305555555555556</v>
      </c>
      <c r="B11" s="833" t="s">
        <v>8</v>
      </c>
      <c r="C11" s="833">
        <v>0.319444444444444</v>
      </c>
      <c r="D11" s="1001" t="s">
        <v>8</v>
      </c>
      <c r="E11" s="833" t="s">
        <v>8</v>
      </c>
      <c r="F11" s="833">
        <v>0.333333333333333</v>
      </c>
      <c r="G11" s="1002">
        <v>0.347222222222222</v>
      </c>
      <c r="H11" s="884"/>
    </row>
    <row r="12" s="324" customFormat="1" ht="20.1" customHeight="1" spans="1:8">
      <c r="A12" s="829">
        <v>0.333333333333333</v>
      </c>
      <c r="B12" s="454" t="s">
        <v>8</v>
      </c>
      <c r="C12" s="454">
        <v>0.347222222222222</v>
      </c>
      <c r="D12" s="999" t="s">
        <v>8</v>
      </c>
      <c r="E12" s="454" t="s">
        <v>8</v>
      </c>
      <c r="F12" s="454">
        <v>0.361111111111111</v>
      </c>
      <c r="G12" s="1000">
        <v>0.375</v>
      </c>
      <c r="H12" s="884"/>
    </row>
    <row r="13" s="324" customFormat="1" ht="20.1" customHeight="1" spans="1:8">
      <c r="A13" s="831">
        <v>0.361111111111111</v>
      </c>
      <c r="B13" s="833" t="s">
        <v>8</v>
      </c>
      <c r="C13" s="833">
        <v>0.375</v>
      </c>
      <c r="D13" s="1001" t="s">
        <v>8</v>
      </c>
      <c r="E13" s="833" t="s">
        <v>8</v>
      </c>
      <c r="F13" s="833">
        <v>0.388888888888889</v>
      </c>
      <c r="G13" s="1002">
        <v>0.402777777777778</v>
      </c>
      <c r="H13" s="884"/>
    </row>
    <row r="14" s="324" customFormat="1" ht="20.1" customHeight="1" spans="1:8">
      <c r="A14" s="829">
        <v>0.388888888888889</v>
      </c>
      <c r="B14" s="454" t="s">
        <v>8</v>
      </c>
      <c r="C14" s="454">
        <v>0.402777777777778</v>
      </c>
      <c r="D14" s="454" t="s">
        <v>8</v>
      </c>
      <c r="E14" s="454" t="s">
        <v>8</v>
      </c>
      <c r="F14" s="454">
        <v>0.416666666666667</v>
      </c>
      <c r="G14" s="1000">
        <v>0.430555555555556</v>
      </c>
      <c r="H14" s="884"/>
    </row>
    <row r="15" s="324" customFormat="1" ht="20.1" customHeight="1" spans="1:8">
      <c r="A15" s="831">
        <v>0.416666666666667</v>
      </c>
      <c r="B15" s="833" t="s">
        <v>8</v>
      </c>
      <c r="C15" s="833">
        <v>0.430555555555556</v>
      </c>
      <c r="D15" s="1001" t="s">
        <v>8</v>
      </c>
      <c r="E15" s="833" t="s">
        <v>8</v>
      </c>
      <c r="F15" s="833">
        <v>0.444444444444444</v>
      </c>
      <c r="G15" s="1002">
        <v>0.458333333333333</v>
      </c>
      <c r="H15" s="884"/>
    </row>
    <row r="16" s="324" customFormat="1" ht="20.1" customHeight="1" spans="1:8">
      <c r="A16" s="829">
        <v>0.444444444444444</v>
      </c>
      <c r="B16" s="454" t="s">
        <v>8</v>
      </c>
      <c r="C16" s="454">
        <v>0.458333333333333</v>
      </c>
      <c r="D16" s="999" t="s">
        <v>8</v>
      </c>
      <c r="E16" s="454" t="s">
        <v>8</v>
      </c>
      <c r="F16" s="454">
        <v>0.472222222222222</v>
      </c>
      <c r="G16" s="1000">
        <v>0.486111111111111</v>
      </c>
      <c r="H16" s="884"/>
    </row>
    <row r="17" s="324" customFormat="1" ht="20.1" customHeight="1" spans="1:8">
      <c r="A17" s="831">
        <v>0.472222222222222</v>
      </c>
      <c r="B17" s="833" t="s">
        <v>8</v>
      </c>
      <c r="C17" s="833">
        <v>0.486111111111111</v>
      </c>
      <c r="D17" s="1001" t="s">
        <v>8</v>
      </c>
      <c r="E17" s="833" t="s">
        <v>8</v>
      </c>
      <c r="F17" s="833">
        <v>0.5</v>
      </c>
      <c r="G17" s="1002">
        <v>0.513888888888889</v>
      </c>
      <c r="H17" s="884"/>
    </row>
    <row r="18" s="324" customFormat="1" ht="20.1" customHeight="1" spans="1:8">
      <c r="A18" s="829">
        <v>0.5</v>
      </c>
      <c r="B18" s="454" t="s">
        <v>8</v>
      </c>
      <c r="C18" s="454">
        <v>0.513888888888889</v>
      </c>
      <c r="D18" s="454" t="s">
        <v>8</v>
      </c>
      <c r="E18" s="454" t="s">
        <v>8</v>
      </c>
      <c r="F18" s="454">
        <v>0.527777777777778</v>
      </c>
      <c r="G18" s="1000">
        <v>0.541666666666667</v>
      </c>
      <c r="H18" s="884"/>
    </row>
    <row r="19" s="324" customFormat="1" ht="20.1" customHeight="1" spans="1:8">
      <c r="A19" s="831">
        <v>0.527777777777778</v>
      </c>
      <c r="B19" s="833" t="s">
        <v>8</v>
      </c>
      <c r="C19" s="833">
        <v>0.541666666666667</v>
      </c>
      <c r="D19" s="1001" t="s">
        <v>8</v>
      </c>
      <c r="E19" s="833" t="s">
        <v>8</v>
      </c>
      <c r="F19" s="833">
        <v>0.555555555555556</v>
      </c>
      <c r="G19" s="1002">
        <v>0.569444444444444</v>
      </c>
      <c r="H19" s="884"/>
    </row>
    <row r="20" s="324" customFormat="1" ht="20.1" customHeight="1" spans="1:8">
      <c r="A20" s="829">
        <v>0.555555555555556</v>
      </c>
      <c r="B20" s="454" t="s">
        <v>8</v>
      </c>
      <c r="C20" s="454">
        <v>0.569444444444444</v>
      </c>
      <c r="D20" s="999" t="s">
        <v>8</v>
      </c>
      <c r="E20" s="454" t="s">
        <v>8</v>
      </c>
      <c r="F20" s="454">
        <v>0.583333333333333</v>
      </c>
      <c r="G20" s="1000">
        <v>0.597222222222222</v>
      </c>
      <c r="H20" s="884"/>
    </row>
    <row r="21" s="324" customFormat="1" ht="20.1" customHeight="1" spans="1:8">
      <c r="A21" s="831">
        <v>0.583333333333334</v>
      </c>
      <c r="B21" s="833" t="s">
        <v>8</v>
      </c>
      <c r="C21" s="833">
        <v>0.597222222222223</v>
      </c>
      <c r="D21" s="1001" t="s">
        <v>8</v>
      </c>
      <c r="E21" s="833" t="s">
        <v>8</v>
      </c>
      <c r="F21" s="833">
        <v>0.611111111111112</v>
      </c>
      <c r="G21" s="1002">
        <v>0.625</v>
      </c>
      <c r="H21" s="884"/>
    </row>
    <row r="22" s="324" customFormat="1" ht="20.1" customHeight="1" spans="1:8">
      <c r="A22" s="829">
        <v>0.611111111111112</v>
      </c>
      <c r="B22" s="454" t="s">
        <v>8</v>
      </c>
      <c r="C22" s="454">
        <v>0.625</v>
      </c>
      <c r="D22" s="454" t="s">
        <v>8</v>
      </c>
      <c r="E22" s="454" t="s">
        <v>8</v>
      </c>
      <c r="F22" s="454">
        <v>0.638888888888889</v>
      </c>
      <c r="G22" s="1000">
        <v>0.652777777777778</v>
      </c>
      <c r="H22" s="884"/>
    </row>
    <row r="23" s="324" customFormat="1" ht="20.1" customHeight="1" spans="1:8">
      <c r="A23" s="831">
        <v>0.638888888888889</v>
      </c>
      <c r="B23" s="833" t="s">
        <v>8</v>
      </c>
      <c r="C23" s="833">
        <v>0.652777777777778</v>
      </c>
      <c r="D23" s="1001" t="s">
        <v>8</v>
      </c>
      <c r="E23" s="833" t="s">
        <v>8</v>
      </c>
      <c r="F23" s="833">
        <v>0.666666666666667</v>
      </c>
      <c r="G23" s="1002">
        <v>0.680555555555555</v>
      </c>
      <c r="H23" s="884"/>
    </row>
    <row r="24" s="324" customFormat="1" ht="20.1" customHeight="1" spans="1:8">
      <c r="A24" s="1009">
        <v>0.666666666666667</v>
      </c>
      <c r="B24" s="454" t="s">
        <v>8</v>
      </c>
      <c r="C24" s="454">
        <v>0.680555555555556</v>
      </c>
      <c r="D24" s="999" t="s">
        <v>8</v>
      </c>
      <c r="E24" s="454" t="s">
        <v>8</v>
      </c>
      <c r="F24" s="454">
        <v>0.694444444444444</v>
      </c>
      <c r="G24" s="1000">
        <v>0.708333333333333</v>
      </c>
      <c r="H24" s="884"/>
    </row>
    <row r="25" s="324" customFormat="1" ht="20.1" customHeight="1" spans="1:8">
      <c r="A25" s="1010">
        <v>0.694444444444445</v>
      </c>
      <c r="B25" s="833" t="s">
        <v>8</v>
      </c>
      <c r="C25" s="833">
        <v>0.708333333333333</v>
      </c>
      <c r="D25" s="1001" t="s">
        <v>8</v>
      </c>
      <c r="E25" s="833" t="s">
        <v>8</v>
      </c>
      <c r="F25" s="833">
        <v>0.722222222222222</v>
      </c>
      <c r="G25" s="1002">
        <v>0.736111111111111</v>
      </c>
      <c r="H25" s="884"/>
    </row>
    <row r="26" s="324" customFormat="1" ht="20.1" customHeight="1" spans="1:8">
      <c r="A26" s="1011" t="s">
        <v>8</v>
      </c>
      <c r="B26" s="1012" t="s">
        <v>8</v>
      </c>
      <c r="C26" s="1012" t="s">
        <v>8</v>
      </c>
      <c r="D26" s="1013" t="s">
        <v>8</v>
      </c>
      <c r="E26" s="1012" t="s">
        <v>8</v>
      </c>
      <c r="F26" s="1012">
        <v>0.71875</v>
      </c>
      <c r="G26" s="1014">
        <v>0.732638888888889</v>
      </c>
      <c r="H26" s="884"/>
    </row>
    <row r="27" s="324" customFormat="1" ht="20.1" customHeight="1" spans="1:8">
      <c r="A27" s="1015">
        <v>0.746527777777778</v>
      </c>
      <c r="B27" s="1012" t="s">
        <v>8</v>
      </c>
      <c r="C27" s="1012" t="s">
        <v>8</v>
      </c>
      <c r="D27" s="1013" t="s">
        <v>8</v>
      </c>
      <c r="E27" s="1012" t="s">
        <v>8</v>
      </c>
      <c r="F27" s="1012" t="s">
        <v>8</v>
      </c>
      <c r="G27" s="1014" t="s">
        <v>8</v>
      </c>
      <c r="H27" s="884"/>
    </row>
    <row r="28" s="324" customFormat="1" ht="20.1" customHeight="1" spans="1:8">
      <c r="A28" s="1009">
        <v>0.722222222222222</v>
      </c>
      <c r="B28" s="454" t="s">
        <v>8</v>
      </c>
      <c r="C28" s="454">
        <v>0.736111111111111</v>
      </c>
      <c r="D28" s="1016">
        <v>0.746527777777778</v>
      </c>
      <c r="E28" s="454" t="s">
        <v>8</v>
      </c>
      <c r="F28" s="454">
        <v>0.75</v>
      </c>
      <c r="G28" s="1000">
        <v>0.763888888888889</v>
      </c>
      <c r="H28" s="884"/>
    </row>
    <row r="29" s="324" customFormat="1" ht="20.1" customHeight="1" spans="1:8">
      <c r="A29" s="1007" t="s">
        <v>8</v>
      </c>
      <c r="B29" s="1007" t="s">
        <v>8</v>
      </c>
      <c r="C29" s="1007" t="s">
        <v>8</v>
      </c>
      <c r="D29" s="1017" t="s">
        <v>8</v>
      </c>
      <c r="E29" s="1007" t="s">
        <v>8</v>
      </c>
      <c r="F29" s="1007">
        <v>0.732638888888889</v>
      </c>
      <c r="G29" s="1008">
        <v>0.746527777777778</v>
      </c>
      <c r="H29" s="884"/>
    </row>
    <row r="30" s="324" customFormat="1" ht="20.1" customHeight="1" spans="1:8">
      <c r="A30" s="1018">
        <v>0.760416666666667</v>
      </c>
      <c r="B30" s="1007" t="s">
        <v>8</v>
      </c>
      <c r="C30" s="1007">
        <v>0.774305555555555</v>
      </c>
      <c r="D30" s="1017" t="s">
        <v>8</v>
      </c>
      <c r="E30" s="1007" t="s">
        <v>8</v>
      </c>
      <c r="F30" s="1007">
        <v>0.795138888888889</v>
      </c>
      <c r="G30" s="1008" t="s">
        <v>8</v>
      </c>
      <c r="H30" s="884"/>
    </row>
    <row r="31" s="324" customFormat="1" ht="20.1" customHeight="1" spans="1:8">
      <c r="A31" s="1010">
        <v>0.75</v>
      </c>
      <c r="B31" s="833" t="s">
        <v>8</v>
      </c>
      <c r="C31" s="833">
        <v>0.763888888888889</v>
      </c>
      <c r="D31" s="1019" t="s">
        <v>8</v>
      </c>
      <c r="E31" s="833" t="s">
        <v>8</v>
      </c>
      <c r="F31" s="833">
        <v>0.777777777777778</v>
      </c>
      <c r="G31" s="1002">
        <v>0.791666666666667</v>
      </c>
      <c r="H31" s="884"/>
    </row>
    <row r="32" s="324" customFormat="1" ht="20.1" customHeight="1" spans="1:8">
      <c r="A32" s="1009">
        <v>0.777777777777778</v>
      </c>
      <c r="B32" s="454" t="s">
        <v>8</v>
      </c>
      <c r="C32" s="454">
        <v>0.791666666666667</v>
      </c>
      <c r="D32" s="1020" t="s">
        <v>8</v>
      </c>
      <c r="E32" s="454" t="s">
        <v>8</v>
      </c>
      <c r="F32" s="454">
        <v>0.805555555555556</v>
      </c>
      <c r="G32" s="1000">
        <v>0.819444444444444</v>
      </c>
      <c r="H32" s="884"/>
    </row>
    <row r="33" s="324" customFormat="1" ht="20.1" customHeight="1" spans="1:14">
      <c r="A33" s="1021">
        <v>0.805555555555555</v>
      </c>
      <c r="B33" s="833" t="s">
        <v>8</v>
      </c>
      <c r="C33" s="833">
        <v>0.819444444444444</v>
      </c>
      <c r="D33" s="1019" t="s">
        <v>8</v>
      </c>
      <c r="E33" s="833" t="s">
        <v>8</v>
      </c>
      <c r="F33" s="833">
        <v>0.833333333333333</v>
      </c>
      <c r="G33" s="1002">
        <v>0.847222222222222</v>
      </c>
      <c r="H33" s="884"/>
    </row>
    <row r="34" s="324" customFormat="1" ht="20.1" customHeight="1" spans="1:14">
      <c r="A34" s="1022">
        <v>0.833333333333333</v>
      </c>
      <c r="B34" s="959" t="s">
        <v>8</v>
      </c>
      <c r="C34" s="959">
        <v>0.847222222222222</v>
      </c>
      <c r="D34" s="1023" t="s">
        <v>8</v>
      </c>
      <c r="E34" s="959" t="s">
        <v>8</v>
      </c>
      <c r="F34" s="959" t="s">
        <v>8</v>
      </c>
      <c r="G34" s="1024" t="s">
        <v>8</v>
      </c>
      <c r="H34" s="884"/>
    </row>
    <row r="35" s="324" customFormat="1" ht="20.1" customHeight="1" spans="1:14">
      <c r="A35" s="1010">
        <v>0.861111111111111</v>
      </c>
      <c r="B35" s="833" t="s">
        <v>8</v>
      </c>
      <c r="C35" s="833">
        <v>0.875</v>
      </c>
      <c r="D35" s="1019" t="s">
        <v>8</v>
      </c>
      <c r="E35" s="833" t="s">
        <v>8</v>
      </c>
      <c r="F35" s="833">
        <v>0.888888888888889</v>
      </c>
      <c r="G35" s="1002">
        <v>0.902777777777778</v>
      </c>
      <c r="H35" s="884"/>
    </row>
    <row r="36" s="324" customFormat="1" ht="20.1" customHeight="1" spans="1:14">
      <c r="A36" s="1010">
        <v>0.916666666666667</v>
      </c>
      <c r="B36" s="833" t="s">
        <v>8</v>
      </c>
      <c r="C36" s="833">
        <v>0.930555555555556</v>
      </c>
      <c r="D36" s="1019" t="s">
        <v>8</v>
      </c>
      <c r="E36" s="833">
        <v>0.9375</v>
      </c>
      <c r="F36" s="833">
        <v>0.947916666666667</v>
      </c>
      <c r="G36" s="1025">
        <v>0.961805555555556</v>
      </c>
      <c r="H36" s="884"/>
    </row>
    <row r="37" s="324" customFormat="1" ht="20.1" customHeight="1" spans="1:14">
      <c r="A37" s="1010">
        <v>0.975694444444444</v>
      </c>
      <c r="B37" s="833">
        <v>0.982638888888889</v>
      </c>
      <c r="C37" s="833" t="s">
        <v>8</v>
      </c>
      <c r="D37" s="1019" t="s">
        <v>8</v>
      </c>
      <c r="E37" s="833" t="s">
        <v>8</v>
      </c>
      <c r="F37" s="833" t="s">
        <v>8</v>
      </c>
      <c r="G37" s="1002" t="s">
        <v>8</v>
      </c>
      <c r="H37" s="884"/>
    </row>
    <row r="38" s="324" customFormat="1" ht="5.1" customHeight="1" spans="1:14">
      <c r="A38" s="1026"/>
      <c r="B38" s="487"/>
      <c r="C38" s="1027"/>
      <c r="D38" s="487"/>
      <c r="E38" s="487"/>
      <c r="H38" s="884"/>
    </row>
    <row r="39" s="324" customFormat="1" ht="31.5" customHeight="1" spans="1:14">
      <c r="A39" s="188" t="s">
        <v>25</v>
      </c>
      <c r="B39" s="189"/>
      <c r="C39" s="189"/>
      <c r="D39" s="189"/>
      <c r="E39" s="189"/>
      <c r="F39" s="189"/>
      <c r="G39" s="189"/>
      <c r="H39" s="884"/>
    </row>
    <row r="40" s="324" customFormat="1" ht="78" customHeight="1" spans="1:14">
      <c r="A40" s="402" t="s">
        <v>32</v>
      </c>
      <c r="B40" s="403"/>
      <c r="C40" s="403"/>
      <c r="D40" s="403"/>
      <c r="E40" s="403"/>
      <c r="F40" s="403"/>
      <c r="G40" s="403"/>
      <c r="H40" s="884"/>
    </row>
    <row r="41" s="324" customFormat="1" ht="27.75" customHeight="1" spans="1:14">
      <c r="A41" s="438" t="s">
        <v>33</v>
      </c>
      <c r="B41" s="193"/>
      <c r="C41" s="193"/>
      <c r="D41" s="193"/>
      <c r="E41" s="193"/>
      <c r="F41" s="193"/>
      <c r="G41" s="193"/>
      <c r="H41" s="884"/>
    </row>
    <row r="42" s="324" customFormat="1" ht="54.75" customHeight="1" spans="1:14">
      <c r="A42" s="218" t="s">
        <v>28</v>
      </c>
      <c r="B42" s="218" t="s">
        <v>34</v>
      </c>
      <c r="C42" s="218" t="s">
        <v>30</v>
      </c>
      <c r="D42" s="218" t="s">
        <v>12</v>
      </c>
      <c r="E42" s="218" t="s">
        <v>6</v>
      </c>
      <c r="F42" s="218" t="s">
        <v>12</v>
      </c>
      <c r="G42" s="649" t="s">
        <v>7</v>
      </c>
      <c r="H42" s="884"/>
    </row>
    <row r="43" s="324" customFormat="1" ht="20.1" customHeight="1" spans="1:14">
      <c r="A43" s="1028"/>
      <c r="B43" s="1029"/>
      <c r="C43" s="1029"/>
      <c r="D43" s="1029"/>
      <c r="E43" s="1029"/>
      <c r="F43" s="1030">
        <v>0.288194444444444</v>
      </c>
      <c r="G43" s="1031">
        <v>0.295138888888889</v>
      </c>
      <c r="H43" s="884"/>
    </row>
    <row r="44" s="324" customFormat="1" ht="20.1" customHeight="1" spans="1:14">
      <c r="A44" s="1030" t="s">
        <v>8</v>
      </c>
      <c r="B44" s="1032">
        <v>0.305555555555556</v>
      </c>
      <c r="C44" s="1032">
        <v>0.319444444444444</v>
      </c>
      <c r="D44" s="1032">
        <v>0.329861111111111</v>
      </c>
      <c r="E44" s="1032">
        <v>0.336805555555556</v>
      </c>
      <c r="F44" s="1033" t="s">
        <v>8</v>
      </c>
      <c r="G44" s="1034">
        <v>0.347222222222222</v>
      </c>
      <c r="H44" s="884"/>
    </row>
    <row r="45" s="324" customFormat="1" ht="20.1" customHeight="1" spans="1:14">
      <c r="A45" s="1035" t="s">
        <v>8</v>
      </c>
      <c r="B45" s="1036">
        <v>0.361111111111111</v>
      </c>
      <c r="C45" s="1036">
        <v>0.375</v>
      </c>
      <c r="D45" s="1036">
        <v>0.385416666666667</v>
      </c>
      <c r="E45" s="1037" t="s">
        <v>8</v>
      </c>
      <c r="F45" s="1037" t="s">
        <v>8</v>
      </c>
      <c r="G45" s="1038">
        <v>0.395833333333333</v>
      </c>
      <c r="H45" s="1039"/>
      <c r="I45" s="651"/>
      <c r="J45" s="651"/>
      <c r="K45" s="651"/>
      <c r="L45" s="651"/>
      <c r="M45" s="651"/>
      <c r="N45" s="651"/>
    </row>
    <row r="46" s="324" customFormat="1" ht="20.1" customHeight="1" spans="1:14">
      <c r="A46" s="1040">
        <v>0.40625</v>
      </c>
      <c r="B46" s="1040" t="s">
        <v>8</v>
      </c>
      <c r="C46" s="1040">
        <v>0.420138888888889</v>
      </c>
      <c r="D46" s="1040">
        <v>0.430555555555556</v>
      </c>
      <c r="E46" s="1037" t="s">
        <v>8</v>
      </c>
      <c r="F46" s="1037" t="s">
        <v>8</v>
      </c>
      <c r="G46" s="1038">
        <v>0.440972222222222</v>
      </c>
      <c r="H46" s="1039"/>
      <c r="I46" s="651"/>
      <c r="J46" s="651"/>
      <c r="K46" s="651"/>
      <c r="L46" s="651"/>
      <c r="M46" s="651"/>
      <c r="N46" s="651"/>
    </row>
    <row r="47" s="324" customFormat="1" ht="20.1" customHeight="1" spans="1:14">
      <c r="A47" s="1041">
        <v>0.451388888888889</v>
      </c>
      <c r="B47" s="1041" t="s">
        <v>8</v>
      </c>
      <c r="C47" s="1041">
        <v>0.465277777777778</v>
      </c>
      <c r="D47" s="1041">
        <v>0.475694444444444</v>
      </c>
      <c r="E47" s="1042">
        <v>0.482638888888889</v>
      </c>
      <c r="F47" s="1042">
        <v>0.489583333333333</v>
      </c>
      <c r="G47" s="1043">
        <v>0.5</v>
      </c>
      <c r="H47" s="884"/>
    </row>
    <row r="48" s="324" customFormat="1" ht="20.1" customHeight="1" spans="1:14">
      <c r="A48" s="1042" t="s">
        <v>8</v>
      </c>
      <c r="B48" s="1042">
        <v>0.513888888888889</v>
      </c>
      <c r="C48" s="1036">
        <v>0.527777777777778</v>
      </c>
      <c r="D48" s="1036">
        <v>0.538194444444444</v>
      </c>
      <c r="E48" s="1037" t="s">
        <v>8</v>
      </c>
      <c r="F48" s="1037" t="s">
        <v>8</v>
      </c>
      <c r="G48" s="1038">
        <v>0.548611111111111</v>
      </c>
      <c r="H48" s="884"/>
    </row>
    <row r="49" s="324" customFormat="1" ht="20.1" customHeight="1" spans="1:13">
      <c r="A49" s="1041">
        <v>0.559027777777778</v>
      </c>
      <c r="B49" s="1041" t="s">
        <v>8</v>
      </c>
      <c r="C49" s="1041">
        <v>0.572916666666667</v>
      </c>
      <c r="D49" s="1041">
        <v>0.583333333333333</v>
      </c>
      <c r="E49" s="1042">
        <v>0.590277777777778</v>
      </c>
      <c r="F49" s="1042">
        <v>0.597222222222222</v>
      </c>
      <c r="G49" s="1043">
        <v>0.607638888888889</v>
      </c>
      <c r="H49" s="884"/>
    </row>
    <row r="50" s="324" customFormat="1" ht="20.1" customHeight="1" spans="1:13">
      <c r="A50" s="1042" t="s">
        <v>8</v>
      </c>
      <c r="B50" s="1042">
        <v>0.621527777777778</v>
      </c>
      <c r="C50" s="1036">
        <v>0.635416666666667</v>
      </c>
      <c r="D50" s="1036">
        <v>0.645833333333333</v>
      </c>
      <c r="E50" s="1037" t="s">
        <v>8</v>
      </c>
      <c r="F50" s="1037" t="s">
        <v>8</v>
      </c>
      <c r="G50" s="1038">
        <v>0.65625</v>
      </c>
      <c r="H50" s="1039"/>
      <c r="I50" s="651"/>
      <c r="J50" s="651"/>
      <c r="K50" s="651"/>
      <c r="L50" s="651"/>
      <c r="M50" s="651"/>
    </row>
    <row r="51" s="324" customFormat="1" ht="20.1" customHeight="1" spans="1:13">
      <c r="A51" s="1040">
        <v>0.666666666666667</v>
      </c>
      <c r="B51" s="1040" t="s">
        <v>8</v>
      </c>
      <c r="C51" s="1040">
        <v>0.680555555555556</v>
      </c>
      <c r="D51" s="1040">
        <v>0.690972222222222</v>
      </c>
      <c r="E51" s="1037" t="s">
        <v>8</v>
      </c>
      <c r="F51" s="1037" t="s">
        <v>8</v>
      </c>
      <c r="G51" s="1038">
        <v>0.704861111111111</v>
      </c>
      <c r="H51" s="1039"/>
      <c r="I51" s="651"/>
      <c r="J51" s="651"/>
      <c r="K51" s="651"/>
      <c r="L51" s="651"/>
      <c r="M51" s="651"/>
    </row>
    <row r="52" s="324" customFormat="1" ht="20.1" customHeight="1" spans="1:13">
      <c r="A52" s="1041">
        <v>0.715277777777778</v>
      </c>
      <c r="B52" s="1041" t="s">
        <v>8</v>
      </c>
      <c r="C52" s="1041">
        <v>0.729166666666667</v>
      </c>
      <c r="D52" s="1041">
        <v>0.739583333333333</v>
      </c>
      <c r="E52" s="1041">
        <v>0.746527777777778</v>
      </c>
      <c r="F52" s="1035" t="s">
        <v>8</v>
      </c>
      <c r="G52" s="1034">
        <v>0.756944444444444</v>
      </c>
      <c r="H52" s="1039"/>
      <c r="I52" s="651"/>
      <c r="J52" s="651"/>
      <c r="K52" s="651"/>
      <c r="L52" s="651"/>
      <c r="M52" s="651"/>
    </row>
    <row r="53" s="324" customFormat="1" ht="20.1" customHeight="1" spans="1:13">
      <c r="A53" s="1035"/>
      <c r="B53" s="1044">
        <v>0.770833333333333</v>
      </c>
      <c r="C53" s="1044">
        <v>0.784722222222222</v>
      </c>
      <c r="D53" s="1029"/>
      <c r="E53" s="1029"/>
      <c r="F53" s="1029"/>
      <c r="G53" s="1045"/>
      <c r="H53" s="1039"/>
      <c r="I53" s="651"/>
      <c r="J53" s="651"/>
      <c r="K53" s="651"/>
      <c r="L53" s="651"/>
      <c r="M53" s="651"/>
    </row>
    <row r="54" s="324" customFormat="1" ht="5.1" customHeight="1" spans="1:13">
      <c r="A54" s="1046"/>
      <c r="B54" s="187"/>
      <c r="C54" s="1047"/>
      <c r="D54" s="187"/>
      <c r="E54" s="187"/>
      <c r="H54" s="884"/>
    </row>
    <row r="55" s="324" customFormat="1" ht="21" spans="1:13">
      <c r="A55" s="657" t="s">
        <v>15</v>
      </c>
      <c r="B55" s="658"/>
      <c r="C55" s="658"/>
      <c r="D55" s="658"/>
      <c r="E55" s="658"/>
      <c r="F55" s="658"/>
      <c r="G55" s="658"/>
      <c r="H55" s="884"/>
    </row>
    <row r="56" s="324" customFormat="1" ht="5.1" customHeight="1" spans="1:13">
      <c r="A56" s="765"/>
      <c r="B56" s="765"/>
      <c r="C56" s="765"/>
      <c r="D56" s="765"/>
      <c r="E56" s="765"/>
      <c r="H56" s="884"/>
    </row>
    <row r="57" s="324" customFormat="1" ht="18.75" spans="1:13">
      <c r="A57" s="699" t="s">
        <v>16</v>
      </c>
      <c r="B57" s="700"/>
      <c r="C57" s="700"/>
      <c r="D57" s="700"/>
      <c r="E57" s="700"/>
      <c r="F57" s="700"/>
      <c r="G57" s="700"/>
      <c r="H57" s="884"/>
    </row>
    <row r="58" s="994" customFormat="1" ht="16.5" spans="1:13">
      <c r="A58" s="868" t="s">
        <v>35</v>
      </c>
      <c r="B58" s="869"/>
      <c r="C58" s="869"/>
      <c r="D58" s="869"/>
      <c r="E58" s="869"/>
      <c r="F58" s="869"/>
      <c r="G58" s="869"/>
      <c r="H58" s="1048"/>
    </row>
    <row r="59" s="994" customFormat="1" ht="20" customHeight="1" spans="1:13">
      <c r="A59" s="868" t="s">
        <v>36</v>
      </c>
      <c r="B59" s="869"/>
      <c r="C59" s="869"/>
      <c r="D59" s="869"/>
      <c r="E59" s="869"/>
      <c r="F59" s="869"/>
      <c r="G59" s="869"/>
      <c r="H59" s="1048"/>
    </row>
    <row r="60" s="994" customFormat="1" ht="35" customHeight="1" spans="1:13">
      <c r="A60" s="868" t="s">
        <v>37</v>
      </c>
      <c r="B60" s="869"/>
      <c r="C60" s="869"/>
      <c r="D60" s="869"/>
      <c r="E60" s="869"/>
      <c r="F60" s="869"/>
      <c r="G60" s="869"/>
      <c r="H60" s="1048"/>
    </row>
    <row r="61" s="324" customFormat="1" ht="5.1" customHeight="1" spans="1:13">
      <c r="A61" s="1046"/>
      <c r="B61" s="187"/>
      <c r="C61" s="1047"/>
      <c r="D61" s="187"/>
      <c r="E61" s="187"/>
      <c r="H61" s="884"/>
    </row>
    <row r="62" s="324" customFormat="1" ht="21" spans="1:13">
      <c r="A62" s="1049" t="s">
        <v>20</v>
      </c>
      <c r="B62" s="1050"/>
      <c r="C62" s="1050"/>
      <c r="D62" s="1050"/>
      <c r="E62" s="1050"/>
      <c r="F62" s="1050"/>
      <c r="G62" s="1050"/>
      <c r="H62" s="884"/>
    </row>
    <row r="63" s="994" customFormat="1" ht="16.5" spans="1:13">
      <c r="A63" s="1051" t="s">
        <v>38</v>
      </c>
      <c r="B63" s="1052"/>
      <c r="C63" s="1052"/>
      <c r="D63" s="1052"/>
      <c r="E63" s="1052"/>
      <c r="F63" s="1052"/>
      <c r="G63" s="1052"/>
      <c r="H63" s="1048"/>
    </row>
    <row r="64" s="324" customFormat="1" ht="6" customHeight="1" spans="1:13">
      <c r="A64" s="1053"/>
      <c r="B64" s="1054"/>
      <c r="C64" s="1054"/>
      <c r="D64" s="1054"/>
      <c r="E64" s="1054"/>
      <c r="F64" s="1054"/>
      <c r="G64" s="1054"/>
      <c r="H64" s="884"/>
    </row>
    <row r="65" s="324" customFormat="1" ht="21" spans="1:9">
      <c r="A65" s="1053" t="s">
        <v>33</v>
      </c>
      <c r="B65" s="1054"/>
      <c r="C65" s="1054"/>
      <c r="D65" s="1054"/>
      <c r="E65" s="1054"/>
      <c r="F65" s="1054"/>
      <c r="G65" s="1054"/>
      <c r="H65" s="884"/>
    </row>
    <row r="66" s="994" customFormat="1" ht="44" customHeight="1" spans="1:9">
      <c r="A66" s="1055" t="s">
        <v>39</v>
      </c>
      <c r="B66" s="1056"/>
      <c r="C66" s="1056"/>
      <c r="D66" s="1056"/>
      <c r="E66" s="1056"/>
      <c r="F66" s="1056"/>
      <c r="G66" s="1056"/>
      <c r="H66" s="1048"/>
    </row>
    <row r="67" s="182" customFormat="1" ht="4.5" customHeight="1" spans="1:9">
      <c r="C67" s="212"/>
      <c r="D67" s="213"/>
      <c r="E67" s="212"/>
      <c r="F67" s="1057"/>
      <c r="G67" s="1058"/>
      <c r="H67" s="1057"/>
      <c r="I67" s="212"/>
    </row>
    <row r="68" s="324" customFormat="1" spans="1:9">
      <c r="A68" s="965" t="s">
        <v>13</v>
      </c>
      <c r="B68" s="966"/>
      <c r="F68" s="884"/>
      <c r="G68" s="884"/>
      <c r="H68" s="884"/>
    </row>
    <row r="69" s="324" customFormat="1" spans="1:9">
      <c r="A69" s="1059" t="s">
        <v>14</v>
      </c>
      <c r="B69" s="1060"/>
      <c r="H69" s="884"/>
    </row>
    <row r="70" s="324" customFormat="1" spans="1:9">
      <c r="A70" s="1061" t="s">
        <v>40</v>
      </c>
      <c r="B70" s="1062"/>
      <c r="H70" s="884"/>
    </row>
    <row r="71" s="324" customFormat="1" ht="16.5" spans="1:9">
      <c r="A71" s="1063" t="s">
        <v>41</v>
      </c>
      <c r="B71" s="1064"/>
      <c r="H71" s="884"/>
    </row>
    <row r="72" s="324" customFormat="1" ht="16.5" spans="1:9">
      <c r="A72" s="1065" t="s">
        <v>42</v>
      </c>
      <c r="B72" s="1066"/>
      <c r="H72" s="884"/>
    </row>
    <row r="73" s="182" customFormat="1" ht="5.1" customHeight="1" spans="1:9">
      <c r="C73" s="212"/>
      <c r="D73" s="213"/>
      <c r="E73" s="212"/>
      <c r="F73" s="212"/>
      <c r="G73" s="213"/>
      <c r="H73" s="1057"/>
      <c r="I73" s="212"/>
    </row>
    <row r="74" s="184" customFormat="1" ht="24.95" customHeight="1" spans="1:9">
      <c r="A74" s="258"/>
      <c r="B74" s="259"/>
      <c r="C74" s="259"/>
      <c r="D74" s="259"/>
      <c r="E74" s="259"/>
      <c r="H74" s="1067"/>
    </row>
    <row r="75" spans="1:9">
      <c r="A75" s="260"/>
      <c r="B75" s="260"/>
      <c r="C75" s="261"/>
      <c r="D75" s="262"/>
      <c r="E75" s="262"/>
      <c r="G75" s="186"/>
    </row>
    <row r="76" ht="30" customHeight="1" spans="1:9">
      <c r="A76" s="328"/>
      <c r="B76" s="265"/>
      <c r="C76" s="266"/>
      <c r="D76" s="267"/>
      <c r="E76" s="268"/>
      <c r="G76" s="329"/>
    </row>
    <row r="77" ht="30" customHeight="1" spans="1:9">
      <c r="A77" s="330"/>
      <c r="B77" s="265"/>
      <c r="C77" s="266"/>
      <c r="D77" s="267"/>
      <c r="E77" s="268"/>
      <c r="G77" s="329"/>
    </row>
    <row r="78" ht="35.25" customHeight="1" spans="1:9">
      <c r="A78" s="330"/>
      <c r="B78" s="265"/>
      <c r="C78" s="266"/>
      <c r="D78" s="267"/>
      <c r="E78" s="268"/>
      <c r="G78" s="329"/>
    </row>
    <row r="79" ht="34.5" customHeight="1" spans="1:9">
      <c r="A79" s="330"/>
      <c r="B79" s="265"/>
      <c r="C79" s="266"/>
      <c r="D79" s="267"/>
      <c r="E79" s="268"/>
      <c r="G79" s="329"/>
    </row>
    <row r="80" ht="30" customHeight="1" spans="1:9">
      <c r="A80" s="330"/>
      <c r="B80" s="265"/>
      <c r="C80" s="266"/>
      <c r="D80" s="267"/>
      <c r="E80" s="268"/>
      <c r="G80" s="186"/>
    </row>
    <row r="81" ht="30" customHeight="1" spans="1:8">
      <c r="A81" s="330"/>
      <c r="B81" s="265"/>
      <c r="C81" s="266"/>
      <c r="D81" s="267"/>
      <c r="E81" s="268"/>
      <c r="F81" s="995"/>
      <c r="G81" s="186"/>
    </row>
    <row r="82" ht="30" customHeight="1" spans="1:8">
      <c r="A82" s="330"/>
      <c r="B82" s="301"/>
      <c r="C82" s="266"/>
      <c r="D82" s="267"/>
      <c r="E82" s="268"/>
      <c r="F82" s="995"/>
      <c r="G82" s="186"/>
    </row>
    <row r="83" ht="30" customHeight="1" spans="1:8">
      <c r="A83" s="330"/>
      <c r="B83" s="265"/>
      <c r="C83" s="266"/>
      <c r="D83" s="267"/>
      <c r="E83" s="268"/>
      <c r="F83" s="995"/>
      <c r="G83" s="186"/>
    </row>
    <row r="84" ht="30" customHeight="1" spans="1:8">
      <c r="A84" s="330"/>
      <c r="B84" s="1068"/>
      <c r="C84" s="347"/>
      <c r="D84" s="267"/>
      <c r="E84" s="349"/>
      <c r="F84" s="995"/>
      <c r="G84" s="186"/>
    </row>
    <row r="85" ht="30" customHeight="1" spans="1:8">
      <c r="A85" s="331"/>
      <c r="B85" s="1068"/>
      <c r="C85" s="347"/>
      <c r="D85" s="267"/>
      <c r="E85" s="349"/>
      <c r="F85" s="995"/>
      <c r="G85" s="186"/>
    </row>
    <row r="86" ht="30.75" customHeight="1" spans="1:8">
      <c r="A86" s="683"/>
      <c r="B86" s="684"/>
      <c r="C86" s="347"/>
      <c r="D86" s="348"/>
      <c r="E86" s="349"/>
      <c r="G86" s="186"/>
    </row>
    <row r="87" ht="30" customHeight="1" spans="1:8">
      <c r="A87" s="683"/>
      <c r="B87" s="684"/>
      <c r="C87" s="347"/>
      <c r="D87" s="348"/>
      <c r="E87" s="349"/>
      <c r="G87" s="186"/>
    </row>
    <row r="88" ht="30" customHeight="1" spans="1:8">
      <c r="A88" s="683"/>
      <c r="B88" s="684"/>
      <c r="C88" s="347"/>
      <c r="D88" s="348"/>
      <c r="E88" s="349"/>
      <c r="G88" s="186"/>
    </row>
    <row r="89" ht="30" customHeight="1" spans="1:8">
      <c r="A89" s="683"/>
      <c r="B89" s="684"/>
      <c r="C89" s="347"/>
      <c r="D89" s="348"/>
      <c r="E89" s="349"/>
      <c r="G89" s="186"/>
    </row>
    <row r="90" ht="30" customHeight="1" spans="1:8">
      <c r="A90" s="683"/>
      <c r="B90" s="684"/>
      <c r="C90" s="347"/>
      <c r="D90" s="348"/>
      <c r="E90" s="349"/>
      <c r="G90" s="186"/>
    </row>
    <row r="91" ht="30" customHeight="1" spans="1:8">
      <c r="A91" s="683"/>
      <c r="B91" s="684"/>
      <c r="C91" s="347"/>
      <c r="D91" s="348"/>
      <c r="E91" s="349"/>
      <c r="G91" s="186"/>
    </row>
    <row r="92" ht="30" customHeight="1" spans="1:8">
      <c r="A92" s="1069"/>
      <c r="B92" s="705"/>
      <c r="C92" s="427"/>
      <c r="D92" s="303"/>
      <c r="E92" s="349"/>
      <c r="F92" s="995"/>
      <c r="G92" s="995"/>
    </row>
    <row r="93" ht="50" customHeight="1" spans="1:8">
      <c r="A93" s="1069"/>
      <c r="B93" s="705"/>
      <c r="C93" s="427"/>
      <c r="D93" s="303"/>
      <c r="E93" s="349"/>
      <c r="F93" s="995"/>
      <c r="G93" s="995"/>
    </row>
    <row r="94" ht="36" customHeight="1" spans="1:8">
      <c r="A94" s="1069"/>
      <c r="B94" s="705"/>
      <c r="C94" s="427"/>
      <c r="D94" s="303"/>
      <c r="E94" s="349"/>
      <c r="F94" s="995"/>
      <c r="G94" s="995"/>
    </row>
    <row r="95" ht="39" customHeight="1" spans="1:8">
      <c r="A95" s="1069"/>
      <c r="B95" s="705"/>
      <c r="C95" s="427"/>
      <c r="D95" s="303"/>
      <c r="E95" s="349"/>
      <c r="F95" s="995"/>
      <c r="G95" s="995"/>
      <c r="H95" s="1070"/>
    </row>
    <row r="96" ht="41.25" customHeight="1" spans="1:8">
      <c r="A96" s="1069"/>
      <c r="B96" s="705"/>
      <c r="C96" s="427"/>
      <c r="D96" s="303"/>
      <c r="E96" s="349"/>
      <c r="F96" s="995"/>
      <c r="G96" s="995"/>
    </row>
    <row r="97" ht="30" customHeight="1" spans="1:7">
      <c r="A97" s="1069"/>
      <c r="B97" s="705"/>
      <c r="C97" s="427"/>
      <c r="D97" s="303"/>
      <c r="E97" s="349"/>
      <c r="F97" s="995"/>
      <c r="G97" s="995"/>
    </row>
    <row r="98" ht="33.75" customHeight="1" spans="1:7">
      <c r="A98" s="1069"/>
      <c r="B98" s="705"/>
      <c r="C98" s="427"/>
      <c r="D98" s="303"/>
      <c r="E98" s="349"/>
      <c r="F98" s="995"/>
      <c r="G98" s="995"/>
    </row>
    <row r="99" ht="39" customHeight="1" spans="1:7">
      <c r="A99" s="1069"/>
      <c r="B99" s="705"/>
      <c r="C99" s="427"/>
      <c r="D99" s="303"/>
      <c r="E99" s="349"/>
      <c r="F99" s="995"/>
      <c r="G99" s="995"/>
    </row>
    <row r="100" ht="36" customHeight="1" spans="1:7">
      <c r="A100" s="1071"/>
      <c r="B100" s="705"/>
      <c r="C100" s="427"/>
      <c r="D100" s="303"/>
      <c r="E100" s="349"/>
      <c r="F100" s="995"/>
      <c r="G100" s="995"/>
    </row>
    <row r="101" ht="7.5" customHeight="1" spans="1:7">
      <c r="A101" s="269"/>
      <c r="B101" s="390"/>
      <c r="C101" s="185"/>
      <c r="D101" s="391"/>
      <c r="E101" s="391"/>
      <c r="G101" s="186"/>
    </row>
    <row r="102" ht="24.95" customHeight="1" spans="1:7">
      <c r="A102" s="730"/>
      <c r="B102" s="600"/>
      <c r="C102" s="600"/>
      <c r="D102" s="600"/>
      <c r="E102" s="600"/>
    </row>
    <row r="103" ht="37" customHeight="1" spans="1:7">
      <c r="A103" s="731"/>
      <c r="B103" s="731"/>
      <c r="C103" s="731"/>
      <c r="D103" s="731"/>
      <c r="E103" s="731"/>
    </row>
    <row r="104" ht="20.1" customHeight="1" spans="1:7">
      <c r="A104" s="280"/>
      <c r="B104" s="280"/>
      <c r="C104" s="281"/>
      <c r="D104" s="282"/>
      <c r="E104" s="408"/>
    </row>
    <row r="105" ht="20.1" customHeight="1" spans="1:7">
      <c r="A105" s="280"/>
      <c r="B105" s="280"/>
      <c r="C105" s="281"/>
      <c r="D105" s="282"/>
      <c r="E105" s="408"/>
    </row>
    <row r="106" ht="20.1" customHeight="1" spans="1:7">
      <c r="A106" s="280"/>
      <c r="B106" s="280"/>
      <c r="C106" s="281"/>
      <c r="D106" s="282"/>
      <c r="E106" s="408"/>
    </row>
  </sheetData>
  <mergeCells count="30">
    <mergeCell ref="A1:G1"/>
    <mergeCell ref="A2:G2"/>
    <mergeCell ref="A3:G3"/>
    <mergeCell ref="A39:G39"/>
    <mergeCell ref="A40:G40"/>
    <mergeCell ref="A41:G41"/>
    <mergeCell ref="A55:G55"/>
    <mergeCell ref="A56:E56"/>
    <mergeCell ref="A57:G57"/>
    <mergeCell ref="A58:G58"/>
    <mergeCell ref="A59:G59"/>
    <mergeCell ref="A60:G60"/>
    <mergeCell ref="A62:G62"/>
    <mergeCell ref="A63:G63"/>
    <mergeCell ref="A65:G65"/>
    <mergeCell ref="A66:G66"/>
    <mergeCell ref="A68:B68"/>
    <mergeCell ref="A69:B69"/>
    <mergeCell ref="A70:B70"/>
    <mergeCell ref="A71:B71"/>
    <mergeCell ref="A72:B72"/>
    <mergeCell ref="A74:E74"/>
    <mergeCell ref="A102:E102"/>
    <mergeCell ref="A103:B103"/>
    <mergeCell ref="A104:B104"/>
    <mergeCell ref="A105:B105"/>
    <mergeCell ref="A106:B106"/>
    <mergeCell ref="A76:A85"/>
    <mergeCell ref="A86:A91"/>
    <mergeCell ref="A92:A100"/>
  </mergeCells>
  <pageMargins left="0.196850393700787" right="0.078740157480315" top="0.196850393700787" bottom="0.196850393700787" header="0.511811023622047" footer="0.511811023622047"/>
  <pageSetup paperSize="9" scale="67" orientation="portrait" horizontalDpi="360" verticalDpi="36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83"/>
  <sheetViews>
    <sheetView showGridLines="0" topLeftCell="A70" workbookViewId="0">
      <selection activeCell="F82" sqref="A62:F82"/>
    </sheetView>
  </sheetViews>
  <sheetFormatPr defaultColWidth="9.14285714285714" defaultRowHeight="15.75"/>
  <cols>
    <col min="1" max="3" width="30.7142857142857" style="186" customWidth="1"/>
    <col min="4" max="4" width="30.7142857142857" style="185" customWidth="1"/>
    <col min="5" max="5" width="30.7142857142857" style="186" customWidth="1"/>
    <col min="6" max="6" width="17.7142857142857" style="186" customWidth="1"/>
    <col min="7" max="7" width="15.7142857142857" style="185" customWidth="1"/>
    <col min="8" max="8" width="15.7142857142857" style="186" customWidth="1"/>
    <col min="9" max="16384" width="9.14285714285714" style="186"/>
  </cols>
  <sheetData>
    <row r="1" s="324" customFormat="1" ht="44.1" customHeight="1" spans="1:4">
      <c r="A1" s="325" t="s">
        <v>43</v>
      </c>
      <c r="B1" s="326"/>
      <c r="C1" s="326"/>
      <c r="D1" s="327"/>
    </row>
    <row r="2" s="324" customFormat="1" ht="91.5" customHeight="1" spans="1:4">
      <c r="A2" s="196" t="s">
        <v>44</v>
      </c>
      <c r="B2" s="197"/>
      <c r="C2" s="197"/>
      <c r="D2" s="198"/>
    </row>
    <row r="3" s="324" customFormat="1" ht="18.75" spans="1:4">
      <c r="A3" s="909" t="s">
        <v>45</v>
      </c>
      <c r="B3" s="910"/>
      <c r="C3" s="910"/>
      <c r="D3" s="911"/>
    </row>
    <row r="4" s="324" customFormat="1" ht="47.25" spans="1:4">
      <c r="A4" s="533" t="s">
        <v>3</v>
      </c>
      <c r="B4" s="534" t="s">
        <v>46</v>
      </c>
      <c r="C4" s="534" t="s">
        <v>47</v>
      </c>
      <c r="D4" s="976" t="s">
        <v>7</v>
      </c>
    </row>
    <row r="5" s="324" customFormat="1" spans="1:4">
      <c r="A5" s="829" t="s">
        <v>8</v>
      </c>
      <c r="B5" s="454" t="s">
        <v>8</v>
      </c>
      <c r="C5" s="454" t="s">
        <v>8</v>
      </c>
      <c r="D5" s="455">
        <v>0.232638888888889</v>
      </c>
    </row>
    <row r="6" s="324" customFormat="1" spans="1:4">
      <c r="A6" s="831" t="s">
        <v>8</v>
      </c>
      <c r="B6" s="833" t="s">
        <v>8</v>
      </c>
      <c r="C6" s="833" t="s">
        <v>8</v>
      </c>
      <c r="D6" s="834">
        <v>0.253472222222222</v>
      </c>
    </row>
    <row r="7" s="324" customFormat="1" spans="1:4">
      <c r="A7" s="829">
        <v>0.246527777777778</v>
      </c>
      <c r="B7" s="454">
        <v>0.260416666666667</v>
      </c>
      <c r="C7" s="454">
        <v>0.263888888888889</v>
      </c>
      <c r="D7" s="455">
        <v>0.267361111111111</v>
      </c>
    </row>
    <row r="8" s="324" customFormat="1" spans="1:4">
      <c r="A8" s="831">
        <v>0.267361111111111</v>
      </c>
      <c r="B8" s="833">
        <v>0.28125</v>
      </c>
      <c r="C8" s="833">
        <v>0.284722222222222</v>
      </c>
      <c r="D8" s="834">
        <v>0.288194444444444</v>
      </c>
    </row>
    <row r="9" s="324" customFormat="1" spans="1:4">
      <c r="A9" s="829">
        <v>0.28125</v>
      </c>
      <c r="B9" s="454">
        <v>0.295138888888889</v>
      </c>
      <c r="C9" s="454">
        <v>0.298611111111111</v>
      </c>
      <c r="D9" s="455">
        <v>0.302083333333333</v>
      </c>
    </row>
    <row r="10" s="324" customFormat="1" spans="1:4">
      <c r="A10" s="831">
        <v>0.302083333333333</v>
      </c>
      <c r="B10" s="833">
        <v>0.315972222222222</v>
      </c>
      <c r="C10" s="833">
        <v>0.319444444444444</v>
      </c>
      <c r="D10" s="834">
        <v>0.322916666666667</v>
      </c>
    </row>
    <row r="11" s="324" customFormat="1" spans="1:4">
      <c r="A11" s="829">
        <v>0.315972222222222</v>
      </c>
      <c r="B11" s="454">
        <v>0.329861111111111</v>
      </c>
      <c r="C11" s="454">
        <v>0.333333333333333</v>
      </c>
      <c r="D11" s="455">
        <v>0.336805555555555</v>
      </c>
    </row>
    <row r="12" s="324" customFormat="1" spans="1:4">
      <c r="A12" s="831">
        <v>0.336805555555555</v>
      </c>
      <c r="B12" s="833">
        <v>0.350694444444444</v>
      </c>
      <c r="C12" s="833">
        <v>0.354166666666666</v>
      </c>
      <c r="D12" s="834">
        <v>0.357638888888888</v>
      </c>
    </row>
    <row r="13" s="324" customFormat="1" spans="1:4">
      <c r="A13" s="829">
        <v>0.350694444444444</v>
      </c>
      <c r="B13" s="454">
        <v>0.364583333333333</v>
      </c>
      <c r="C13" s="454">
        <v>0.368055555555555</v>
      </c>
      <c r="D13" s="455" t="s">
        <v>8</v>
      </c>
    </row>
    <row r="14" s="324" customFormat="1" spans="1:4">
      <c r="A14" s="831">
        <v>0.371527777777777</v>
      </c>
      <c r="B14" s="833">
        <v>0.385416666666666</v>
      </c>
      <c r="C14" s="833" t="s">
        <v>8</v>
      </c>
      <c r="D14" s="834" t="s">
        <v>8</v>
      </c>
    </row>
    <row r="15" s="324" customFormat="1" spans="1:4">
      <c r="A15" s="829" t="s">
        <v>8</v>
      </c>
      <c r="B15" s="454" t="s">
        <v>8</v>
      </c>
      <c r="C15" s="454" t="s">
        <v>8</v>
      </c>
      <c r="D15" s="455" t="s">
        <v>8</v>
      </c>
    </row>
    <row r="16" s="324" customFormat="1" spans="1:4">
      <c r="A16" s="831" t="s">
        <v>8</v>
      </c>
      <c r="B16" s="833" t="s">
        <v>8</v>
      </c>
      <c r="C16" s="833">
        <v>0.458333333333333</v>
      </c>
      <c r="D16" s="834">
        <v>0.461805555555556</v>
      </c>
    </row>
    <row r="17" s="324" customFormat="1" spans="1:4">
      <c r="A17" s="829" t="s">
        <v>8</v>
      </c>
      <c r="B17" s="454" t="s">
        <v>8</v>
      </c>
      <c r="C17" s="454">
        <v>0.472222222222222</v>
      </c>
      <c r="D17" s="455">
        <v>0.475694444444444</v>
      </c>
    </row>
    <row r="18" s="324" customFormat="1" spans="1:4">
      <c r="A18" s="831">
        <v>0.475694444444444</v>
      </c>
      <c r="B18" s="833">
        <v>0.489583333333333</v>
      </c>
      <c r="C18" s="833">
        <v>0.496527777777778</v>
      </c>
      <c r="D18" s="834">
        <v>0.5</v>
      </c>
    </row>
    <row r="19" s="324" customFormat="1" spans="1:4">
      <c r="A19" s="829">
        <v>0.489583333333333</v>
      </c>
      <c r="B19" s="454">
        <v>0.503472222222222</v>
      </c>
      <c r="C19" s="454">
        <v>0.506944444444444</v>
      </c>
      <c r="D19" s="455">
        <v>0.510416666666666</v>
      </c>
    </row>
    <row r="20" s="324" customFormat="1" spans="1:4">
      <c r="A20" s="831">
        <v>0.513888888888889</v>
      </c>
      <c r="B20" s="833">
        <v>0.524305555555555</v>
      </c>
      <c r="C20" s="833">
        <v>0.527777777777777</v>
      </c>
      <c r="D20" s="834">
        <v>0.53125</v>
      </c>
    </row>
    <row r="21" s="324" customFormat="1" spans="1:4">
      <c r="A21" s="829">
        <v>0.524305555555556</v>
      </c>
      <c r="B21" s="454">
        <v>0.538194444444445</v>
      </c>
      <c r="C21" s="454">
        <v>0.541666666666667</v>
      </c>
      <c r="D21" s="455">
        <v>0.545138888888889</v>
      </c>
    </row>
    <row r="22" s="324" customFormat="1" spans="1:4">
      <c r="A22" s="831">
        <v>0.545138888888889</v>
      </c>
      <c r="B22" s="833">
        <v>0.559027777777778</v>
      </c>
      <c r="C22" s="833">
        <v>0.5625</v>
      </c>
      <c r="D22" s="834" t="s">
        <v>8</v>
      </c>
    </row>
    <row r="23" s="324" customFormat="1" spans="1:4">
      <c r="A23" s="829">
        <v>0.559027777777778</v>
      </c>
      <c r="B23" s="454">
        <v>0.572916666666667</v>
      </c>
      <c r="C23" s="454">
        <v>0.576388888888889</v>
      </c>
      <c r="D23" s="455" t="s">
        <v>8</v>
      </c>
    </row>
    <row r="24" s="324" customFormat="1" spans="1:4">
      <c r="A24" s="831">
        <v>0.579861111111111</v>
      </c>
      <c r="B24" s="833">
        <v>0.59375</v>
      </c>
      <c r="C24" s="833" t="s">
        <v>8</v>
      </c>
      <c r="D24" s="834" t="s">
        <v>8</v>
      </c>
    </row>
    <row r="25" s="324" customFormat="1" spans="1:4">
      <c r="A25" s="829" t="s">
        <v>8</v>
      </c>
      <c r="B25" s="454" t="s">
        <v>8</v>
      </c>
      <c r="C25" s="454" t="s">
        <v>8</v>
      </c>
      <c r="D25" s="455" t="s">
        <v>8</v>
      </c>
    </row>
    <row r="26" s="324" customFormat="1" spans="1:4">
      <c r="A26" s="831" t="s">
        <v>8</v>
      </c>
      <c r="B26" s="833" t="s">
        <v>8</v>
      </c>
      <c r="C26" s="833">
        <v>0.666666666666666</v>
      </c>
      <c r="D26" s="834">
        <v>0.670138888888889</v>
      </c>
    </row>
    <row r="27" s="324" customFormat="1" spans="1:4">
      <c r="A27" s="829" t="s">
        <v>8</v>
      </c>
      <c r="B27" s="454" t="s">
        <v>8</v>
      </c>
      <c r="C27" s="454">
        <v>0.680555555555556</v>
      </c>
      <c r="D27" s="455">
        <v>0.684027777777778</v>
      </c>
    </row>
    <row r="28" s="324" customFormat="1" spans="1:4">
      <c r="A28" s="831">
        <v>0.684027777777778</v>
      </c>
      <c r="B28" s="833">
        <v>0.697916666666667</v>
      </c>
      <c r="C28" s="833">
        <v>0.701388888888889</v>
      </c>
      <c r="D28" s="834">
        <v>0.704861111111111</v>
      </c>
    </row>
    <row r="29" s="324" customFormat="1" spans="1:4">
      <c r="A29" s="829">
        <v>0.697916666666667</v>
      </c>
      <c r="B29" s="454">
        <v>0.711805555555556</v>
      </c>
      <c r="C29" s="454">
        <v>0.715277777777778</v>
      </c>
      <c r="D29" s="455">
        <v>0.71875</v>
      </c>
    </row>
    <row r="30" s="324" customFormat="1" spans="1:4">
      <c r="A30" s="831">
        <v>0.71875</v>
      </c>
      <c r="B30" s="833">
        <v>0.732638888888889</v>
      </c>
      <c r="C30" s="833">
        <v>0.736111111111111</v>
      </c>
      <c r="D30" s="834">
        <v>0.739583333333334</v>
      </c>
    </row>
    <row r="31" s="324" customFormat="1" spans="1:4">
      <c r="A31" s="829">
        <v>0.732638888888889</v>
      </c>
      <c r="B31" s="454">
        <v>0.746527777777778</v>
      </c>
      <c r="C31" s="454">
        <v>0.75</v>
      </c>
      <c r="D31" s="455">
        <v>0.753472222222222</v>
      </c>
    </row>
    <row r="32" s="324" customFormat="1" spans="1:4">
      <c r="A32" s="831">
        <v>0.753472222222222</v>
      </c>
      <c r="B32" s="833">
        <v>0.767361111111111</v>
      </c>
      <c r="C32" s="833">
        <v>0.770833333333333</v>
      </c>
      <c r="D32" s="834">
        <v>0.774305555555555</v>
      </c>
    </row>
    <row r="33" s="324" customFormat="1" spans="1:4">
      <c r="A33" s="829">
        <v>0.767361111111111</v>
      </c>
      <c r="B33" s="454">
        <v>0.78125</v>
      </c>
      <c r="C33" s="454">
        <v>0.784722222222222</v>
      </c>
      <c r="D33" s="455">
        <v>0.788194444444444</v>
      </c>
    </row>
    <row r="34" s="324" customFormat="1" spans="1:4">
      <c r="A34" s="831">
        <v>0.788194444444444</v>
      </c>
      <c r="B34" s="833">
        <v>0.802083333333333</v>
      </c>
      <c r="C34" s="833">
        <v>0.805555555555555</v>
      </c>
      <c r="D34" s="834">
        <v>0.809027777777778</v>
      </c>
    </row>
    <row r="35" s="324" customFormat="1" spans="1:4">
      <c r="A35" s="829">
        <v>0.809027777777778</v>
      </c>
      <c r="B35" s="454">
        <v>0.815972222222223</v>
      </c>
      <c r="C35" s="454">
        <v>0.819444444444445</v>
      </c>
      <c r="D35" s="455" t="s">
        <v>8</v>
      </c>
    </row>
    <row r="36" s="324" customFormat="1" spans="1:4">
      <c r="A36" s="831">
        <v>0.829861111111111</v>
      </c>
      <c r="B36" s="833">
        <v>0.84375</v>
      </c>
      <c r="C36" s="833">
        <v>0.847222222222222</v>
      </c>
      <c r="D36" s="834">
        <v>0.850694444444445</v>
      </c>
    </row>
    <row r="37" s="324" customFormat="1" ht="16.5" spans="1:4">
      <c r="A37" s="977">
        <v>0.871527777777778</v>
      </c>
      <c r="B37" s="978">
        <v>0.885416666666667</v>
      </c>
      <c r="C37" s="978" t="s">
        <v>8</v>
      </c>
      <c r="D37" s="979" t="s">
        <v>8</v>
      </c>
    </row>
    <row r="38" s="324" customFormat="1" ht="6.2" customHeight="1" spans="1:4">
      <c r="A38" s="980"/>
      <c r="B38" s="980"/>
      <c r="C38" s="980"/>
      <c r="D38" s="980"/>
    </row>
    <row r="39" s="324" customFormat="1" ht="21" spans="1:4">
      <c r="A39" s="192" t="s">
        <v>20</v>
      </c>
      <c r="B39" s="491"/>
      <c r="C39" s="491"/>
      <c r="D39" s="194"/>
    </row>
    <row r="40" s="324" customFormat="1" ht="81" customHeight="1" spans="1:4">
      <c r="A40" s="690" t="s">
        <v>48</v>
      </c>
      <c r="B40" s="691"/>
      <c r="C40" s="691"/>
      <c r="D40" s="692"/>
    </row>
    <row r="41" s="324" customFormat="1" ht="48" spans="1:4">
      <c r="A41" s="201" t="s">
        <v>49</v>
      </c>
      <c r="B41" s="201" t="s">
        <v>46</v>
      </c>
      <c r="C41" s="201" t="s">
        <v>47</v>
      </c>
      <c r="D41" s="201" t="s">
        <v>7</v>
      </c>
    </row>
    <row r="42" s="324" customFormat="1" spans="1:4">
      <c r="A42" s="981" t="s">
        <v>8</v>
      </c>
      <c r="B42" s="982" t="s">
        <v>8</v>
      </c>
      <c r="C42" s="982">
        <v>0.666666666666666</v>
      </c>
      <c r="D42" s="983">
        <v>0.670138888888889</v>
      </c>
    </row>
    <row r="43" s="324" customFormat="1" spans="1:4">
      <c r="A43" s="831">
        <v>0.684027777777778</v>
      </c>
      <c r="B43" s="833">
        <v>0.697916666666667</v>
      </c>
      <c r="C43" s="833">
        <v>0.701388888888889</v>
      </c>
      <c r="D43" s="834">
        <v>0.704861111111111</v>
      </c>
    </row>
    <row r="44" s="324" customFormat="1" spans="1:4">
      <c r="A44" s="831">
        <v>0.71875</v>
      </c>
      <c r="B44" s="833">
        <v>0.732638888888889</v>
      </c>
      <c r="C44" s="833">
        <v>0.736111111111111</v>
      </c>
      <c r="D44" s="834">
        <v>0.739583333333334</v>
      </c>
    </row>
    <row r="45" s="324" customFormat="1" spans="1:4">
      <c r="A45" s="831">
        <v>0.753472222222222</v>
      </c>
      <c r="B45" s="833">
        <v>0.767361111111111</v>
      </c>
      <c r="C45" s="833">
        <v>0.770833333333333</v>
      </c>
      <c r="D45" s="834">
        <v>0.774305555555555</v>
      </c>
    </row>
    <row r="46" s="324" customFormat="1" spans="1:4">
      <c r="A46" s="831">
        <v>0.788194444444444</v>
      </c>
      <c r="B46" s="833">
        <v>0.802083333333333</v>
      </c>
      <c r="C46" s="833">
        <v>0.805555555555555</v>
      </c>
      <c r="D46" s="834">
        <v>0.809027777777778</v>
      </c>
    </row>
    <row r="47" s="324" customFormat="1" spans="1:4">
      <c r="A47" s="831">
        <v>0.829861111111111</v>
      </c>
      <c r="B47" s="833">
        <v>0.836805555555555</v>
      </c>
      <c r="C47" s="833">
        <v>0.847222222222222</v>
      </c>
      <c r="D47" s="834">
        <v>0.850694444444445</v>
      </c>
    </row>
    <row r="48" s="324" customFormat="1" ht="16.5" spans="1:4">
      <c r="A48" s="977">
        <v>0.871527777777778</v>
      </c>
      <c r="B48" s="978">
        <v>0.885416666666667</v>
      </c>
      <c r="C48" s="978" t="s">
        <v>8</v>
      </c>
      <c r="D48" s="979" t="s">
        <v>8</v>
      </c>
    </row>
    <row r="49" s="182" customFormat="1" ht="4.5" customHeight="1" spans="1:9">
      <c r="C49" s="212"/>
      <c r="D49" s="213"/>
      <c r="E49" s="212"/>
      <c r="F49" s="212"/>
      <c r="G49" s="213"/>
      <c r="H49" s="212"/>
      <c r="I49" s="212"/>
    </row>
    <row r="50" s="324" customFormat="1" ht="27.75" customHeight="1" spans="1:9">
      <c r="A50" s="657" t="s">
        <v>15</v>
      </c>
      <c r="B50" s="658"/>
      <c r="C50" s="658"/>
      <c r="D50" s="659"/>
    </row>
    <row r="51" s="324" customFormat="1" ht="5.1" customHeight="1" spans="1:9">
      <c r="A51" s="984"/>
      <c r="B51" s="984"/>
      <c r="C51" s="984"/>
      <c r="D51" s="984"/>
    </row>
    <row r="52" customFormat="1" ht="30" customHeight="1" spans="1:9">
      <c r="A52" s="699" t="s">
        <v>16</v>
      </c>
      <c r="B52" s="700"/>
      <c r="C52" s="700"/>
      <c r="D52" s="701"/>
    </row>
    <row r="53" customFormat="1" ht="60.75" customHeight="1" spans="1:9">
      <c r="A53" s="985" t="s">
        <v>50</v>
      </c>
      <c r="B53" s="986"/>
      <c r="C53" s="986"/>
      <c r="D53" s="986"/>
      <c r="E53" s="930"/>
    </row>
    <row r="54" s="324" customFormat="1" ht="5.1" customHeight="1" spans="1:9">
      <c r="A54" s="984"/>
      <c r="B54" s="984"/>
      <c r="C54" s="984"/>
      <c r="D54" s="984"/>
    </row>
    <row r="55" customFormat="1" ht="30" customHeight="1" spans="1:9">
      <c r="A55" s="699" t="s">
        <v>20</v>
      </c>
      <c r="B55" s="700"/>
      <c r="C55" s="700"/>
      <c r="D55" s="701"/>
    </row>
    <row r="56" customFormat="1" ht="24.95" customHeight="1" spans="1:9">
      <c r="A56" s="987" t="s">
        <v>51</v>
      </c>
      <c r="B56" s="988"/>
      <c r="C56" s="988"/>
      <c r="D56" s="989"/>
      <c r="E56" s="930"/>
    </row>
    <row r="57" customFormat="1" ht="36.75" customHeight="1" spans="1:9">
      <c r="A57" s="985" t="s">
        <v>52</v>
      </c>
      <c r="B57" s="986"/>
      <c r="C57" s="986"/>
      <c r="D57" s="986"/>
      <c r="E57" s="930"/>
    </row>
    <row r="58" s="182" customFormat="1" ht="4.5" customHeight="1" spans="1:9">
      <c r="C58" s="212"/>
      <c r="D58" s="213"/>
      <c r="E58" s="212"/>
      <c r="F58" s="212"/>
      <c r="G58" s="213"/>
      <c r="H58" s="212"/>
      <c r="I58" s="212"/>
    </row>
    <row r="59" s="324" customFormat="1" spans="1:9">
      <c r="A59" s="965" t="s">
        <v>13</v>
      </c>
      <c r="B59" s="966"/>
    </row>
    <row r="60" s="324" customFormat="1" ht="16.5" spans="1:9">
      <c r="A60" s="967" t="s">
        <v>14</v>
      </c>
      <c r="B60" s="968"/>
    </row>
    <row r="61" s="182" customFormat="1" ht="4.5" customHeight="1" spans="1:9">
      <c r="C61" s="212"/>
      <c r="D61" s="213"/>
      <c r="E61" s="212"/>
      <c r="F61" s="212"/>
      <c r="G61" s="213"/>
      <c r="H61" s="212"/>
    </row>
    <row r="62" s="184" customFormat="1" ht="24.95" customHeight="1" spans="1:9">
      <c r="A62" s="258"/>
      <c r="B62" s="259"/>
      <c r="C62" s="259"/>
      <c r="D62" s="259"/>
      <c r="E62" s="259"/>
    </row>
    <row r="63" spans="1:9">
      <c r="A63" s="260"/>
      <c r="B63" s="260"/>
      <c r="C63" s="261"/>
      <c r="D63" s="262"/>
      <c r="E63" s="262"/>
      <c r="G63" s="186"/>
    </row>
    <row r="64" ht="30" customHeight="1" spans="1:9">
      <c r="A64" s="876"/>
      <c r="B64" s="990"/>
      <c r="C64" s="878"/>
      <c r="D64" s="879"/>
      <c r="E64" s="880"/>
      <c r="G64" s="329"/>
    </row>
    <row r="65" ht="30" customHeight="1" spans="1:7">
      <c r="A65" s="876"/>
      <c r="B65" s="990"/>
      <c r="C65" s="878"/>
      <c r="D65" s="879"/>
      <c r="E65" s="880"/>
      <c r="G65" s="329"/>
    </row>
    <row r="66" ht="30" customHeight="1" spans="1:7">
      <c r="A66" s="876"/>
      <c r="B66" s="990"/>
      <c r="C66" s="878"/>
      <c r="D66" s="879"/>
      <c r="E66" s="880"/>
      <c r="G66" s="329"/>
    </row>
    <row r="67" ht="30" customHeight="1" spans="1:7">
      <c r="A67" s="876"/>
      <c r="B67" s="990"/>
      <c r="C67" s="878"/>
      <c r="D67" s="879"/>
      <c r="E67" s="880"/>
      <c r="G67" s="329"/>
    </row>
    <row r="68" ht="30" customHeight="1" spans="1:7">
      <c r="A68" s="991"/>
      <c r="B68" s="684"/>
      <c r="C68" s="347"/>
      <c r="D68" s="348"/>
      <c r="E68" s="349"/>
      <c r="G68" s="186"/>
    </row>
    <row r="69" ht="30" customHeight="1" spans="1:7">
      <c r="A69" s="679"/>
      <c r="B69" s="684"/>
      <c r="C69" s="347"/>
      <c r="D69" s="348"/>
      <c r="E69" s="349"/>
      <c r="G69" s="186"/>
    </row>
    <row r="70" ht="30" customHeight="1" spans="1:7">
      <c r="A70" s="679"/>
      <c r="B70" s="684"/>
      <c r="C70" s="347"/>
      <c r="D70" s="348"/>
      <c r="E70" s="349"/>
      <c r="G70" s="186"/>
    </row>
    <row r="71" ht="30" customHeight="1" spans="1:7">
      <c r="A71" s="679"/>
      <c r="B71" s="684"/>
      <c r="C71" s="347"/>
      <c r="D71" s="348"/>
      <c r="E71" s="349"/>
      <c r="G71" s="186"/>
    </row>
    <row r="72" ht="30" customHeight="1" spans="1:7">
      <c r="A72" s="992"/>
      <c r="B72" s="877"/>
      <c r="C72" s="878"/>
      <c r="D72" s="879"/>
      <c r="E72" s="880"/>
      <c r="G72" s="186"/>
    </row>
    <row r="73" ht="30" customHeight="1" spans="1:7">
      <c r="A73" s="992"/>
      <c r="B73" s="877"/>
      <c r="C73" s="878"/>
      <c r="D73" s="879"/>
      <c r="E73" s="880"/>
      <c r="G73" s="186"/>
    </row>
    <row r="74" ht="30" customHeight="1" spans="1:7">
      <c r="A74" s="993"/>
      <c r="B74" s="877"/>
      <c r="C74" s="878"/>
      <c r="D74" s="879"/>
      <c r="E74" s="880"/>
      <c r="G74" s="186"/>
    </row>
    <row r="75" ht="7.5" customHeight="1" spans="1:7">
      <c r="A75" s="269"/>
      <c r="B75" s="270"/>
      <c r="C75" s="271"/>
      <c r="D75" s="272"/>
      <c r="E75" s="272"/>
      <c r="G75" s="186"/>
    </row>
    <row r="76" ht="24.95" customHeight="1" spans="1:7">
      <c r="A76" s="730"/>
      <c r="B76" s="600"/>
      <c r="C76" s="600"/>
      <c r="D76" s="600"/>
      <c r="E76" s="600"/>
    </row>
    <row r="77" ht="24.95" customHeight="1" spans="1:7">
      <c r="A77" s="731"/>
      <c r="B77" s="731"/>
      <c r="C77" s="731"/>
      <c r="D77" s="731"/>
      <c r="E77" s="731"/>
    </row>
    <row r="78" ht="20.1" customHeight="1" spans="1:7">
      <c r="A78" s="280"/>
      <c r="B78" s="280"/>
      <c r="C78" s="281"/>
      <c r="D78" s="282"/>
      <c r="E78" s="408"/>
    </row>
    <row r="79" ht="20.1" customHeight="1" spans="1:7">
      <c r="A79" s="280"/>
      <c r="B79" s="280"/>
      <c r="C79" s="281"/>
      <c r="D79" s="282"/>
      <c r="E79" s="503"/>
    </row>
    <row r="80" ht="20.1" customHeight="1" spans="1:7">
      <c r="A80" s="280"/>
      <c r="B80" s="280"/>
      <c r="C80" s="281"/>
      <c r="D80" s="282"/>
      <c r="E80" s="504"/>
    </row>
    <row r="81" ht="17.25" spans="1:5">
      <c r="A81" s="280"/>
      <c r="B81" s="280"/>
      <c r="C81" s="281"/>
      <c r="D81" s="282"/>
      <c r="E81" s="505"/>
    </row>
    <row r="82" ht="15" customHeight="1"/>
    <row r="83" ht="15" customHeight="1"/>
  </sheetData>
  <mergeCells count="24">
    <mergeCell ref="A1:D1"/>
    <mergeCell ref="A2:D2"/>
    <mergeCell ref="A3:D3"/>
    <mergeCell ref="A39:D39"/>
    <mergeCell ref="A40:D40"/>
    <mergeCell ref="A50:D50"/>
    <mergeCell ref="A52:D52"/>
    <mergeCell ref="A53:D53"/>
    <mergeCell ref="A55:D55"/>
    <mergeCell ref="A56:D56"/>
    <mergeCell ref="A57:D57"/>
    <mergeCell ref="A59:B59"/>
    <mergeCell ref="A60:B60"/>
    <mergeCell ref="A62:E62"/>
    <mergeCell ref="A76:E76"/>
    <mergeCell ref="A77:B77"/>
    <mergeCell ref="A78:B78"/>
    <mergeCell ref="A79:B79"/>
    <mergeCell ref="A80:B80"/>
    <mergeCell ref="A81:B81"/>
    <mergeCell ref="A64:A67"/>
    <mergeCell ref="A68:A71"/>
    <mergeCell ref="A72:A74"/>
    <mergeCell ref="E79:E81"/>
  </mergeCells>
  <pageMargins left="1.18110236220472" right="0.748031496062992" top="0.196850393700787" bottom="0.196850393700787" header="0.511811023622047" footer="0.511811023622047"/>
  <pageSetup paperSize="9" scale="74" orientation="portrait" horizontalDpi="360" verticalDpi="36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37"/>
  <sheetViews>
    <sheetView showGridLines="0" topLeftCell="A13" workbookViewId="0">
      <selection activeCell="F37" sqref="A23:F37"/>
    </sheetView>
  </sheetViews>
  <sheetFormatPr defaultColWidth="9.14285714285714" defaultRowHeight="15.75"/>
  <cols>
    <col min="1" max="3" width="30.7142857142857" style="186" customWidth="1"/>
    <col min="4" max="4" width="30.7142857142857" style="185" customWidth="1"/>
    <col min="5" max="5" width="30.7142857142857" style="186" customWidth="1"/>
    <col min="6" max="6" width="17.7142857142857" style="186" customWidth="1"/>
    <col min="7" max="7" width="15.7142857142857" style="185" customWidth="1"/>
    <col min="8" max="8" width="15.7142857142857" style="186" customWidth="1"/>
    <col min="9" max="16384" width="9.14285714285714" style="186"/>
  </cols>
  <sheetData>
    <row r="1" s="324" customFormat="1" ht="39" customHeight="1" spans="1:12">
      <c r="A1" s="188" t="s">
        <v>53</v>
      </c>
      <c r="B1" s="189"/>
      <c r="C1" s="189"/>
      <c r="D1" s="189"/>
      <c r="E1" s="190"/>
    </row>
    <row r="2" s="324" customFormat="1" ht="78.75" customHeight="1" spans="1:12">
      <c r="A2" s="204" t="s">
        <v>54</v>
      </c>
      <c r="B2" s="205"/>
      <c r="C2" s="205"/>
      <c r="D2" s="205"/>
      <c r="E2" s="206"/>
    </row>
    <row r="3" s="324" customFormat="1" ht="32.25" customHeight="1" spans="1:12">
      <c r="A3" s="410" t="s">
        <v>27</v>
      </c>
      <c r="B3" s="411"/>
      <c r="C3" s="411"/>
      <c r="D3" s="411"/>
      <c r="E3" s="412"/>
    </row>
    <row r="4" s="324" customFormat="1" ht="69" customHeight="1" spans="1:12">
      <c r="A4" s="201" t="s">
        <v>47</v>
      </c>
      <c r="B4" s="201" t="s">
        <v>55</v>
      </c>
      <c r="C4" s="201" t="s">
        <v>56</v>
      </c>
      <c r="D4" s="201" t="s">
        <v>57</v>
      </c>
      <c r="E4" s="201" t="s">
        <v>58</v>
      </c>
    </row>
    <row r="5" s="324" customFormat="1" spans="1:12">
      <c r="A5" s="656"/>
      <c r="B5" s="656">
        <v>0.253472222222222</v>
      </c>
      <c r="C5" s="656">
        <v>0.260416666666667</v>
      </c>
      <c r="D5" s="656">
        <v>0.267361111111111</v>
      </c>
      <c r="E5" s="656">
        <v>0.274305555555556</v>
      </c>
      <c r="F5" s="632"/>
      <c r="G5" s="632"/>
      <c r="H5" s="632"/>
      <c r="I5" s="632"/>
      <c r="J5" s="632"/>
      <c r="K5" s="632"/>
      <c r="L5" s="632"/>
    </row>
    <row r="6" s="324" customFormat="1" spans="1:12">
      <c r="A6" s="610">
        <v>0.28125</v>
      </c>
      <c r="B6" s="610">
        <v>0.284722222222222</v>
      </c>
      <c r="C6" s="610">
        <v>0.291666666666667</v>
      </c>
      <c r="D6" s="610">
        <v>0.298611111111111</v>
      </c>
      <c r="E6" s="610">
        <v>0.305555555555556</v>
      </c>
      <c r="F6" s="632"/>
      <c r="G6" s="632"/>
      <c r="H6" s="632"/>
      <c r="I6" s="632"/>
      <c r="J6" s="632"/>
      <c r="K6" s="632"/>
      <c r="L6" s="632"/>
    </row>
    <row r="7" s="324" customFormat="1" spans="1:12">
      <c r="A7" s="202">
        <v>0.3125</v>
      </c>
      <c r="B7" s="202">
        <v>0.315972222222222</v>
      </c>
      <c r="C7" s="202">
        <v>0.322916666666667</v>
      </c>
      <c r="D7" s="202">
        <v>0.329861111111111</v>
      </c>
      <c r="E7" s="202">
        <v>0.336805555555556</v>
      </c>
      <c r="F7" s="632"/>
      <c r="G7" s="632"/>
      <c r="H7" s="632"/>
      <c r="I7" s="632"/>
      <c r="J7" s="632"/>
      <c r="K7" s="632"/>
      <c r="L7" s="632"/>
    </row>
    <row r="8" s="324" customFormat="1" spans="1:12">
      <c r="A8" s="610">
        <v>0.34375</v>
      </c>
      <c r="B8" s="610">
        <v>0.347222222222222</v>
      </c>
      <c r="C8" s="610"/>
      <c r="D8" s="610"/>
      <c r="E8" s="610"/>
      <c r="F8" s="632"/>
      <c r="G8" s="632"/>
      <c r="H8" s="632"/>
      <c r="I8" s="632"/>
      <c r="J8" s="632"/>
      <c r="K8" s="632"/>
      <c r="L8" s="632"/>
    </row>
    <row r="9" s="324" customFormat="1" spans="1:12">
      <c r="A9" s="202">
        <v>0.5</v>
      </c>
      <c r="B9" s="202">
        <v>0.503472222222222</v>
      </c>
      <c r="C9" s="202">
        <v>0.510416666666667</v>
      </c>
      <c r="D9" s="202">
        <v>0.517361111111111</v>
      </c>
      <c r="E9" s="202">
        <v>0.524305555555556</v>
      </c>
      <c r="F9" s="632"/>
      <c r="G9" s="632"/>
      <c r="H9" s="632"/>
      <c r="I9" s="632"/>
      <c r="J9" s="632"/>
      <c r="K9" s="632"/>
      <c r="L9" s="632"/>
    </row>
    <row r="10" s="324" customFormat="1" spans="1:12">
      <c r="A10" s="610">
        <v>0.53125</v>
      </c>
      <c r="B10" s="610">
        <v>0.534722222222222</v>
      </c>
      <c r="C10" s="610">
        <v>0.541666666666667</v>
      </c>
      <c r="D10" s="610">
        <v>0.548611111111111</v>
      </c>
      <c r="E10" s="610">
        <v>0.555555555555556</v>
      </c>
      <c r="F10" s="632"/>
      <c r="G10" s="632"/>
      <c r="H10" s="632"/>
      <c r="I10" s="632"/>
      <c r="J10" s="632"/>
      <c r="K10" s="632"/>
      <c r="L10" s="632"/>
    </row>
    <row r="11" s="324" customFormat="1" spans="1:12">
      <c r="A11" s="610">
        <v>0.5625</v>
      </c>
      <c r="B11" s="610">
        <v>0.565972222222222</v>
      </c>
      <c r="C11" s="610"/>
      <c r="D11" s="610"/>
      <c r="E11" s="610"/>
      <c r="F11" s="632"/>
      <c r="G11" s="632"/>
      <c r="H11" s="632"/>
      <c r="I11" s="632"/>
      <c r="J11" s="632"/>
      <c r="K11" s="632"/>
      <c r="L11" s="632"/>
    </row>
    <row r="12" s="324" customFormat="1" spans="1:12">
      <c r="A12" s="610">
        <v>0.663194444444444</v>
      </c>
      <c r="B12" s="610">
        <v>0.666666666666667</v>
      </c>
      <c r="C12" s="610">
        <v>0.673611111111111</v>
      </c>
      <c r="D12" s="610">
        <v>0.680555555555555</v>
      </c>
      <c r="E12" s="610">
        <v>0.6875</v>
      </c>
      <c r="F12" s="632"/>
      <c r="G12" s="632"/>
      <c r="H12" s="632"/>
      <c r="I12" s="632"/>
      <c r="J12" s="632"/>
      <c r="K12" s="632"/>
      <c r="L12" s="632"/>
    </row>
    <row r="13" s="324" customFormat="1" spans="1:12">
      <c r="A13" s="610">
        <v>0.694444444444445</v>
      </c>
      <c r="B13" s="610">
        <v>0.697916666666667</v>
      </c>
      <c r="C13" s="610">
        <v>0.704861111111111</v>
      </c>
      <c r="D13" s="610">
        <v>0.711805555555555</v>
      </c>
      <c r="E13" s="610">
        <v>0.71875</v>
      </c>
      <c r="F13" s="632"/>
      <c r="G13" s="632"/>
      <c r="H13" s="632"/>
      <c r="I13" s="632"/>
      <c r="J13" s="632"/>
      <c r="K13" s="632"/>
      <c r="L13" s="632"/>
    </row>
    <row r="14" s="324" customFormat="1" spans="1:12">
      <c r="A14" s="610">
        <v>0.725694444444445</v>
      </c>
      <c r="B14" s="610">
        <v>0.729166666666667</v>
      </c>
      <c r="C14" s="610">
        <v>0.736111111111111</v>
      </c>
      <c r="D14" s="610">
        <v>0.743055555555555</v>
      </c>
      <c r="E14" s="610">
        <v>0.75</v>
      </c>
      <c r="F14" s="632"/>
      <c r="G14" s="632"/>
      <c r="H14" s="632"/>
      <c r="I14" s="632"/>
      <c r="J14" s="632"/>
      <c r="K14" s="632"/>
      <c r="L14" s="632"/>
    </row>
    <row r="15" s="324" customFormat="1" spans="1:12">
      <c r="A15" s="610">
        <v>0.756944444444445</v>
      </c>
      <c r="B15" s="610">
        <v>0.760416666666667</v>
      </c>
      <c r="C15" s="610">
        <v>0.767361111111111</v>
      </c>
      <c r="D15" s="610">
        <v>0.774305555555555</v>
      </c>
      <c r="E15" s="610">
        <v>0.78125</v>
      </c>
      <c r="F15" s="632"/>
      <c r="G15" s="632"/>
      <c r="H15" s="632"/>
      <c r="I15" s="632"/>
      <c r="J15" s="632"/>
      <c r="K15" s="632"/>
      <c r="L15" s="632"/>
    </row>
    <row r="16" s="324" customFormat="1" ht="16.5" spans="1:12">
      <c r="A16" s="203">
        <v>0.788194444444445</v>
      </c>
      <c r="B16" s="203"/>
      <c r="C16" s="203"/>
      <c r="D16" s="203"/>
      <c r="E16" s="203"/>
      <c r="F16" s="632"/>
      <c r="G16" s="632"/>
      <c r="H16" s="632"/>
      <c r="I16" s="632"/>
      <c r="J16" s="632"/>
      <c r="K16" s="632"/>
      <c r="L16" s="632"/>
    </row>
    <row r="17" s="324" customFormat="1" ht="5.85" customHeight="1" spans="1:8">
      <c r="A17" s="187"/>
      <c r="B17" s="187"/>
      <c r="C17" s="187"/>
      <c r="D17" s="187"/>
    </row>
    <row r="18" s="324" customFormat="1" ht="27.75" customHeight="1" spans="1:8">
      <c r="A18" s="657" t="s">
        <v>15</v>
      </c>
      <c r="B18" s="658"/>
      <c r="C18" s="658"/>
      <c r="D18" s="658"/>
      <c r="E18" s="659"/>
      <c r="H18" s="632"/>
    </row>
    <row r="19" s="324" customFormat="1" ht="5.1" customHeight="1" spans="1:8">
      <c r="A19" s="648"/>
      <c r="B19" s="648"/>
      <c r="C19" s="648"/>
      <c r="D19" s="648"/>
      <c r="H19" s="632"/>
    </row>
    <row r="20" customFormat="1" ht="30" customHeight="1" spans="1:8">
      <c r="A20" s="660" t="s">
        <v>20</v>
      </c>
      <c r="B20" s="661"/>
      <c r="C20" s="661"/>
      <c r="D20" s="661"/>
      <c r="E20" s="662"/>
      <c r="H20" s="632"/>
    </row>
    <row r="21" customFormat="1" ht="24.95" customHeight="1" spans="1:8">
      <c r="A21" s="666" t="s">
        <v>59</v>
      </c>
      <c r="B21" s="667"/>
      <c r="C21" s="667"/>
      <c r="D21" s="667"/>
      <c r="E21" s="668"/>
      <c r="H21" s="632"/>
    </row>
    <row r="22" s="324" customFormat="1" ht="5.1" customHeight="1" spans="1:8">
      <c r="A22" s="975"/>
      <c r="B22" s="975"/>
      <c r="C22" s="975"/>
      <c r="D22" s="975"/>
    </row>
    <row r="23" s="184" customFormat="1" ht="24.95" customHeight="1" spans="1:8">
      <c r="A23" s="258"/>
      <c r="B23" s="259"/>
      <c r="C23" s="259"/>
      <c r="D23" s="259"/>
      <c r="E23" s="259"/>
    </row>
    <row r="24" spans="1:8">
      <c r="A24" s="260"/>
      <c r="B24" s="260"/>
      <c r="C24" s="261"/>
      <c r="D24" s="262"/>
      <c r="E24" s="262"/>
      <c r="G24" s="186"/>
    </row>
    <row r="25" ht="30" customHeight="1" spans="1:8">
      <c r="A25" s="264"/>
      <c r="B25" s="265"/>
      <c r="C25" s="266"/>
      <c r="D25" s="267"/>
      <c r="E25" s="268"/>
      <c r="G25" s="329"/>
    </row>
    <row r="26" ht="30" customHeight="1" spans="1:8">
      <c r="A26" s="264"/>
      <c r="B26" s="265"/>
      <c r="C26" s="266"/>
      <c r="D26" s="267"/>
      <c r="E26" s="268"/>
      <c r="G26" s="329"/>
    </row>
    <row r="27" ht="34.5" customHeight="1" spans="1:8">
      <c r="A27" s="264"/>
      <c r="B27" s="265"/>
      <c r="C27" s="266"/>
      <c r="D27" s="267"/>
      <c r="E27" s="268"/>
      <c r="G27" s="329"/>
    </row>
    <row r="28" ht="33.75" customHeight="1" spans="1:8">
      <c r="A28" s="264"/>
      <c r="B28" s="265"/>
      <c r="C28" s="266"/>
      <c r="D28" s="267"/>
      <c r="E28" s="268"/>
      <c r="G28" s="329"/>
    </row>
    <row r="29" ht="30" customHeight="1" spans="1:8">
      <c r="A29" s="683"/>
      <c r="B29" s="346"/>
      <c r="C29" s="347"/>
      <c r="D29" s="348"/>
      <c r="E29" s="349"/>
      <c r="G29" s="186"/>
    </row>
    <row r="30" ht="30" customHeight="1" spans="1:8">
      <c r="A30" s="683"/>
      <c r="B30" s="346"/>
      <c r="C30" s="347"/>
      <c r="D30" s="348"/>
      <c r="E30" s="349"/>
      <c r="G30" s="186"/>
    </row>
    <row r="31" ht="30" customHeight="1" spans="1:8">
      <c r="A31" s="683"/>
      <c r="B31" s="346"/>
      <c r="C31" s="347"/>
      <c r="D31" s="348"/>
      <c r="E31" s="349"/>
      <c r="G31" s="186"/>
    </row>
    <row r="32" ht="30" customHeight="1" spans="1:8">
      <c r="A32" s="683"/>
      <c r="B32" s="346"/>
      <c r="C32" s="347"/>
      <c r="D32" s="348"/>
      <c r="E32" s="349"/>
      <c r="G32" s="186"/>
    </row>
    <row r="33" ht="7.5" customHeight="1" spans="1:7">
      <c r="A33" s="269"/>
      <c r="B33" s="270"/>
      <c r="C33" s="271"/>
      <c r="D33" s="272"/>
      <c r="E33" s="272"/>
      <c r="G33" s="186"/>
    </row>
    <row r="34" ht="24.95" customHeight="1" spans="1:7">
      <c r="A34" s="730"/>
      <c r="B34" s="600"/>
      <c r="C34" s="600"/>
      <c r="D34" s="600"/>
      <c r="E34" s="600"/>
    </row>
    <row r="35" ht="24.95" customHeight="1" spans="1:7">
      <c r="A35" s="731"/>
      <c r="B35" s="731"/>
      <c r="C35" s="731"/>
      <c r="D35" s="731"/>
      <c r="E35" s="731"/>
    </row>
    <row r="36" ht="20.1" customHeight="1" spans="1:7">
      <c r="A36" s="280"/>
      <c r="B36" s="280"/>
      <c r="C36" s="281"/>
      <c r="D36" s="282"/>
      <c r="E36" s="408"/>
    </row>
    <row r="37" ht="20.1" customHeight="1" spans="1:7">
      <c r="A37" s="280"/>
      <c r="B37" s="280"/>
      <c r="C37" s="281"/>
      <c r="D37" s="282"/>
      <c r="E37" s="408"/>
    </row>
  </sheetData>
  <mergeCells count="13">
    <mergeCell ref="A1:E1"/>
    <mergeCell ref="A2:E2"/>
    <mergeCell ref="A3:E3"/>
    <mergeCell ref="A18:E18"/>
    <mergeCell ref="A20:E20"/>
    <mergeCell ref="A21:E21"/>
    <mergeCell ref="A23:E23"/>
    <mergeCell ref="A34:E34"/>
    <mergeCell ref="A35:B35"/>
    <mergeCell ref="A36:B36"/>
    <mergeCell ref="A37:B37"/>
    <mergeCell ref="A25:A28"/>
    <mergeCell ref="A29:A32"/>
  </mergeCells>
  <pageMargins left="0.196850393700787" right="0.118110236220472" top="0.196850393700787" bottom="0.196850393700787" header="0.511811023622047" footer="0.511811023622047"/>
  <pageSetup paperSize="9" scale="61" orientation="portrait"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66"/>
  <sheetViews>
    <sheetView showGridLines="0" zoomScale="110" zoomScaleNormal="110" topLeftCell="A47" workbookViewId="0">
      <selection activeCell="A47" sqref="A47:E47"/>
    </sheetView>
  </sheetViews>
  <sheetFormatPr defaultColWidth="9.14285714285714" defaultRowHeight="15.75"/>
  <cols>
    <col min="1" max="3" width="30.7142857142857" style="186" customWidth="1"/>
    <col min="4" max="4" width="30.7714285714286" style="185" customWidth="1"/>
    <col min="5" max="5" width="30.7142857142857" style="186" customWidth="1"/>
    <col min="6" max="16384" width="9.14285714285714" style="186"/>
  </cols>
  <sheetData>
    <row r="1" s="324" customFormat="1" ht="33.95" customHeight="1" spans="1:9">
      <c r="A1" s="188" t="s">
        <v>60</v>
      </c>
      <c r="B1" s="189"/>
      <c r="C1" s="189"/>
      <c r="D1" s="189"/>
      <c r="E1" s="190"/>
    </row>
    <row r="2" s="324" customFormat="1" ht="90" customHeight="1" spans="1:9">
      <c r="A2" s="204" t="s">
        <v>61</v>
      </c>
      <c r="B2" s="205"/>
      <c r="C2" s="205"/>
      <c r="D2" s="205"/>
      <c r="E2" s="206"/>
    </row>
    <row r="3" s="324" customFormat="1" ht="35.1" customHeight="1" spans="1:9">
      <c r="A3" s="410" t="s">
        <v>62</v>
      </c>
      <c r="B3" s="411"/>
      <c r="C3" s="411"/>
      <c r="D3" s="411"/>
      <c r="E3" s="412"/>
    </row>
    <row r="4" s="324" customFormat="1" ht="69.95" customHeight="1" spans="1:9">
      <c r="A4" s="218" t="s">
        <v>63</v>
      </c>
      <c r="B4" s="218" t="s">
        <v>64</v>
      </c>
      <c r="C4" s="218" t="s">
        <v>6</v>
      </c>
      <c r="D4" s="218" t="s">
        <v>65</v>
      </c>
      <c r="E4" s="218" t="s">
        <v>66</v>
      </c>
    </row>
    <row r="5" s="324" customFormat="1" spans="1:9">
      <c r="A5" s="951" t="s">
        <v>8</v>
      </c>
      <c r="B5" s="556" t="s">
        <v>8</v>
      </c>
      <c r="C5" s="556" t="s">
        <v>8</v>
      </c>
      <c r="D5" s="556"/>
      <c r="E5" s="558">
        <v>0.236111111111111</v>
      </c>
    </row>
    <row r="6" s="324" customFormat="1" spans="1:9">
      <c r="A6" s="831" t="s">
        <v>8</v>
      </c>
      <c r="B6" s="833" t="s">
        <v>8</v>
      </c>
      <c r="C6" s="833" t="s">
        <v>8</v>
      </c>
      <c r="D6" s="833"/>
      <c r="E6" s="834">
        <v>0.25</v>
      </c>
    </row>
    <row r="7" s="324" customFormat="1" spans="1:9">
      <c r="A7" s="829">
        <v>0.246527777777778</v>
      </c>
      <c r="B7" s="454">
        <v>0.256944444444444</v>
      </c>
      <c r="C7" s="454">
        <v>0.267361111111111</v>
      </c>
      <c r="D7" s="454"/>
      <c r="E7" s="455">
        <v>0.277777777777778</v>
      </c>
    </row>
    <row r="8" s="324" customFormat="1" spans="1:9">
      <c r="A8" s="831">
        <v>0.256944444444444</v>
      </c>
      <c r="B8" s="833">
        <v>0.267361111111111</v>
      </c>
      <c r="C8" s="833">
        <v>0.277777777777778</v>
      </c>
      <c r="D8" s="833"/>
      <c r="E8" s="834">
        <v>0.288194444444444</v>
      </c>
    </row>
    <row r="9" s="324" customFormat="1" spans="1:9">
      <c r="A9" s="829">
        <v>0.288194444444444</v>
      </c>
      <c r="B9" s="454">
        <v>0.298611111111111</v>
      </c>
      <c r="C9" s="454">
        <v>0.3125</v>
      </c>
      <c r="D9" s="454"/>
      <c r="E9" s="455">
        <v>0.322916666666667</v>
      </c>
    </row>
    <row r="10" s="324" customFormat="1" spans="1:9">
      <c r="A10" s="831">
        <v>0.305555555555556</v>
      </c>
      <c r="B10" s="833">
        <v>0.315972222222222</v>
      </c>
      <c r="C10" s="833">
        <v>0.329861111111111</v>
      </c>
      <c r="D10" s="833"/>
      <c r="E10" s="834">
        <v>0.340277777777778</v>
      </c>
    </row>
    <row r="11" s="324" customFormat="1" spans="1:9">
      <c r="A11" s="829">
        <v>0.333333333333333</v>
      </c>
      <c r="B11" s="454">
        <v>0.347222222222222</v>
      </c>
      <c r="C11" s="454">
        <v>0.361111111111111</v>
      </c>
      <c r="D11" s="454"/>
      <c r="E11" s="454">
        <v>0.371527777777778</v>
      </c>
      <c r="F11" s="890"/>
      <c r="G11" s="890"/>
      <c r="H11" s="890"/>
      <c r="I11" s="890"/>
    </row>
    <row r="12" s="324" customFormat="1" spans="1:9">
      <c r="A12" s="831">
        <v>0.350694444444444</v>
      </c>
      <c r="B12" s="833">
        <v>0.364583333333333</v>
      </c>
      <c r="C12" s="833">
        <v>0.378472222222222</v>
      </c>
      <c r="D12" s="833"/>
      <c r="E12" s="833" t="s">
        <v>8</v>
      </c>
    </row>
    <row r="13" s="324" customFormat="1" spans="1:9">
      <c r="A13" s="454">
        <v>0.385416666666667</v>
      </c>
      <c r="B13" s="454">
        <v>0.399305555555556</v>
      </c>
      <c r="C13" s="454">
        <v>0.409722222222222</v>
      </c>
      <c r="D13" s="454"/>
      <c r="E13" s="454">
        <v>0.423611111111111</v>
      </c>
    </row>
    <row r="14" s="324" customFormat="1" spans="1:9">
      <c r="A14" s="833" t="s">
        <v>8</v>
      </c>
      <c r="B14" s="833" t="s">
        <v>8</v>
      </c>
      <c r="C14" s="833" t="s">
        <v>8</v>
      </c>
      <c r="D14" s="833"/>
      <c r="E14" s="834">
        <v>0.444444444444444</v>
      </c>
    </row>
    <row r="15" s="324" customFormat="1" spans="1:9">
      <c r="A15" s="454">
        <v>0.4375</v>
      </c>
      <c r="B15" s="454">
        <v>0.451388888888889</v>
      </c>
      <c r="C15" s="454">
        <v>0.465277777777778</v>
      </c>
      <c r="D15" s="454"/>
      <c r="E15" s="455">
        <v>0.479166666666667</v>
      </c>
    </row>
    <row r="16" s="324" customFormat="1" spans="1:9">
      <c r="A16" s="831">
        <v>0.454861111111111</v>
      </c>
      <c r="B16" s="833">
        <v>0.46875</v>
      </c>
      <c r="C16" s="833">
        <v>0.482638888888889</v>
      </c>
      <c r="D16" s="833"/>
      <c r="E16" s="834">
        <v>0.5</v>
      </c>
    </row>
    <row r="17" s="324" customFormat="1" spans="1:5">
      <c r="A17" s="829">
        <v>0.489583333333333</v>
      </c>
      <c r="B17" s="454">
        <v>0.503472222222222</v>
      </c>
      <c r="C17" s="454">
        <v>0.517361111111111</v>
      </c>
      <c r="D17" s="454"/>
      <c r="E17" s="455">
        <v>0.53125</v>
      </c>
    </row>
    <row r="18" s="324" customFormat="1" spans="1:5">
      <c r="A18" s="831">
        <v>0.510416666666667</v>
      </c>
      <c r="B18" s="833">
        <v>0.520833333333333</v>
      </c>
      <c r="C18" s="833">
        <v>0.534722222222222</v>
      </c>
      <c r="D18" s="833"/>
      <c r="E18" s="834">
        <v>0.548611111111111</v>
      </c>
    </row>
    <row r="19" s="324" customFormat="1" spans="1:5">
      <c r="A19" s="829">
        <v>0.541666666666667</v>
      </c>
      <c r="B19" s="454">
        <v>0.555555555555556</v>
      </c>
      <c r="C19" s="454">
        <v>0.569444444444444</v>
      </c>
      <c r="D19" s="454"/>
      <c r="E19" s="455">
        <v>0.583333333333333</v>
      </c>
    </row>
    <row r="20" s="324" customFormat="1" spans="1:5">
      <c r="A20" s="831">
        <v>0.559027777777778</v>
      </c>
      <c r="B20" s="833">
        <v>0.572916666666667</v>
      </c>
      <c r="C20" s="560">
        <v>0.586805555555556</v>
      </c>
      <c r="D20" s="560"/>
      <c r="E20" s="834">
        <v>0.600694444444444</v>
      </c>
    </row>
    <row r="21" s="324" customFormat="1" spans="1:5">
      <c r="A21" s="829">
        <v>0.59375</v>
      </c>
      <c r="B21" s="454">
        <v>0.607638888888889</v>
      </c>
      <c r="C21" s="454">
        <v>0.621527777777778</v>
      </c>
      <c r="D21" s="454"/>
      <c r="E21" s="455">
        <v>0.635416666666667</v>
      </c>
    </row>
    <row r="22" s="324" customFormat="1" spans="1:5">
      <c r="A22" s="831">
        <v>0.611111111111111</v>
      </c>
      <c r="B22" s="833">
        <v>0.625</v>
      </c>
      <c r="C22" s="833">
        <v>0.638888888888889</v>
      </c>
      <c r="D22" s="833"/>
      <c r="E22" s="834">
        <v>0.652777777777778</v>
      </c>
    </row>
    <row r="23" s="324" customFormat="1" spans="1:5">
      <c r="A23" s="829">
        <v>0.645833333333333</v>
      </c>
      <c r="B23" s="454">
        <v>0.659722222222222</v>
      </c>
      <c r="C23" s="454">
        <v>0.673611111111111</v>
      </c>
      <c r="D23" s="454"/>
      <c r="E23" s="455">
        <v>0.6875</v>
      </c>
    </row>
    <row r="24" s="324" customFormat="1" spans="1:5">
      <c r="A24" s="831">
        <v>0.666666666666667</v>
      </c>
      <c r="B24" s="833">
        <v>0.680555555555556</v>
      </c>
      <c r="C24" s="833">
        <v>0.694444444444444</v>
      </c>
      <c r="D24" s="833"/>
      <c r="E24" s="834">
        <v>0.708333333333333</v>
      </c>
    </row>
    <row r="25" s="324" customFormat="1" spans="1:5">
      <c r="A25" s="829">
        <v>0.697916666666667</v>
      </c>
      <c r="B25" s="454">
        <v>0.711805555555556</v>
      </c>
      <c r="C25" s="454">
        <v>0.725694444444444</v>
      </c>
      <c r="D25" s="454"/>
      <c r="E25" s="455">
        <v>0.739583333333333</v>
      </c>
    </row>
    <row r="26" s="324" customFormat="1" spans="1:5">
      <c r="A26" s="831">
        <v>0.722222222222222</v>
      </c>
      <c r="B26" s="833">
        <v>0.736111111111111</v>
      </c>
      <c r="C26" s="833">
        <v>0.75</v>
      </c>
      <c r="D26" s="833"/>
      <c r="E26" s="834">
        <v>0.763888888888889</v>
      </c>
    </row>
    <row r="27" s="324" customFormat="1" spans="1:5">
      <c r="A27" s="952" t="s">
        <v>8</v>
      </c>
      <c r="B27" s="953" t="s">
        <v>8</v>
      </c>
      <c r="C27" s="953" t="s">
        <v>8</v>
      </c>
      <c r="D27" s="953">
        <v>0.743055555555556</v>
      </c>
      <c r="E27" s="954">
        <v>0.760416666666667</v>
      </c>
    </row>
    <row r="28" s="324" customFormat="1" spans="1:5">
      <c r="A28" s="952">
        <v>0.770833333333333</v>
      </c>
      <c r="B28" s="953">
        <v>0.784722222222222</v>
      </c>
      <c r="C28" s="953"/>
      <c r="D28" s="953"/>
      <c r="E28" s="954"/>
    </row>
    <row r="29" s="324" customFormat="1" spans="1:5">
      <c r="A29" s="829">
        <v>0.75</v>
      </c>
      <c r="B29" s="454">
        <v>0.763888888888889</v>
      </c>
      <c r="C29" s="454">
        <v>0.777777777777778</v>
      </c>
      <c r="D29" s="454"/>
      <c r="E29" s="455">
        <v>0.791666666666667</v>
      </c>
    </row>
    <row r="30" s="324" customFormat="1" spans="1:5">
      <c r="A30" s="831">
        <v>0.774305555555556</v>
      </c>
      <c r="B30" s="833">
        <v>0.788194444444444</v>
      </c>
      <c r="C30" s="833">
        <v>0.802083333333333</v>
      </c>
      <c r="D30" s="833"/>
      <c r="E30" s="834">
        <v>0.815972222222222</v>
      </c>
    </row>
    <row r="31" s="324" customFormat="1" spans="1:5">
      <c r="A31" s="829">
        <v>0.802083333333333</v>
      </c>
      <c r="B31" s="454">
        <v>0.815972222222222</v>
      </c>
      <c r="C31" s="454">
        <v>0.829861111111111</v>
      </c>
      <c r="D31" s="454"/>
      <c r="E31" s="455" t="s">
        <v>8</v>
      </c>
    </row>
    <row r="32" s="324" customFormat="1" spans="1:5">
      <c r="A32" s="955">
        <v>0.826388888888889</v>
      </c>
      <c r="B32" s="956">
        <v>0.840277777777778</v>
      </c>
      <c r="C32" s="956" t="s">
        <v>8</v>
      </c>
      <c r="D32" s="956"/>
      <c r="E32" s="957" t="s">
        <v>8</v>
      </c>
    </row>
    <row r="33" s="324" customFormat="1" spans="1:6">
      <c r="A33" s="958"/>
      <c r="B33" s="959"/>
      <c r="C33" s="959">
        <v>0.961805555555555</v>
      </c>
      <c r="D33" s="959"/>
      <c r="E33" s="960">
        <v>0.975694444444445</v>
      </c>
    </row>
    <row r="34" s="324" customFormat="1" ht="16.5" spans="1:6">
      <c r="A34" s="456">
        <v>0.986111111111111</v>
      </c>
      <c r="B34" s="457">
        <v>0</v>
      </c>
      <c r="C34" s="457"/>
      <c r="D34" s="457"/>
      <c r="E34" s="458"/>
    </row>
    <row r="35" s="324" customFormat="1" ht="5.1" customHeight="1"/>
    <row r="36" customFormat="1" ht="22" customHeight="1" spans="1:6">
      <c r="A36" s="961" t="s">
        <v>15</v>
      </c>
      <c r="B36" s="962"/>
      <c r="C36" s="962"/>
      <c r="D36" s="962"/>
      <c r="E36" s="963"/>
    </row>
    <row r="37" customFormat="1" ht="25" customHeight="1" spans="1:6">
      <c r="A37" s="699" t="s">
        <v>67</v>
      </c>
      <c r="B37" s="700"/>
      <c r="C37" s="700"/>
      <c r="D37" s="700"/>
      <c r="E37" s="701"/>
    </row>
    <row r="38" customFormat="1" ht="62" customHeight="1" spans="1:6">
      <c r="A38" s="868" t="s">
        <v>68</v>
      </c>
      <c r="B38" s="869"/>
      <c r="C38" s="869"/>
      <c r="D38" s="869"/>
      <c r="E38" s="870"/>
    </row>
    <row r="39" customFormat="1" ht="24.95" customHeight="1" spans="1:6">
      <c r="A39" s="699" t="s">
        <v>69</v>
      </c>
      <c r="B39" s="700"/>
      <c r="C39" s="700"/>
      <c r="D39" s="700"/>
      <c r="E39" s="701"/>
    </row>
    <row r="40" customFormat="1" ht="24.95" customHeight="1" spans="1:6">
      <c r="A40" s="868" t="s">
        <v>70</v>
      </c>
      <c r="B40" s="869"/>
      <c r="C40" s="869"/>
      <c r="D40" s="869"/>
      <c r="E40" s="870"/>
      <c r="F40" s="964"/>
    </row>
    <row r="41" customFormat="1" ht="24.95" customHeight="1" spans="1:6">
      <c r="A41" s="868" t="s">
        <v>71</v>
      </c>
      <c r="B41" s="869"/>
      <c r="C41" s="869"/>
      <c r="D41" s="869"/>
      <c r="E41" s="870"/>
    </row>
    <row r="42" s="182" customFormat="1" ht="5.1" customHeight="1" spans="1:6">
      <c r="C42" s="212"/>
      <c r="D42" s="213"/>
      <c r="E42" s="212"/>
    </row>
    <row r="43" s="324" customFormat="1" spans="1:6">
      <c r="A43" s="965" t="s">
        <v>13</v>
      </c>
      <c r="B43" s="966"/>
    </row>
    <row r="44" s="324" customFormat="1" ht="16.5" spans="1:6">
      <c r="A44" s="967" t="s">
        <v>14</v>
      </c>
      <c r="B44" s="968"/>
    </row>
    <row r="45" s="324" customFormat="1" ht="16.5" spans="1:6">
      <c r="A45" s="969" t="s">
        <v>40</v>
      </c>
      <c r="B45" s="970"/>
    </row>
    <row r="46" s="182" customFormat="1" ht="4.5" customHeight="1" spans="1:6">
      <c r="C46" s="212"/>
      <c r="D46" s="213"/>
      <c r="E46" s="212"/>
    </row>
    <row r="47" s="184" customFormat="1" ht="24.95" customHeight="1" spans="1:6">
      <c r="A47" s="788"/>
      <c r="B47" s="788"/>
      <c r="C47" s="788"/>
      <c r="D47" s="788"/>
      <c r="E47" s="788"/>
    </row>
    <row r="48" s="184" customFormat="1" ht="24.95" customHeight="1" spans="1:6">
      <c r="A48" s="971"/>
      <c r="B48" s="971"/>
      <c r="C48" s="261"/>
      <c r="D48" s="788"/>
      <c r="E48" s="788"/>
    </row>
    <row r="49" ht="60" customHeight="1" spans="1:5">
      <c r="A49" s="264"/>
      <c r="B49" s="265"/>
      <c r="C49" s="266"/>
      <c r="D49" s="267"/>
      <c r="E49" s="268"/>
    </row>
    <row r="50" ht="37.5" customHeight="1" spans="1:5">
      <c r="A50" s="264"/>
      <c r="B50" s="265"/>
      <c r="C50" s="266"/>
      <c r="D50" s="267"/>
      <c r="E50" s="268"/>
    </row>
    <row r="51" ht="35.1" customHeight="1" spans="1:5">
      <c r="A51" s="264"/>
      <c r="B51" s="265"/>
      <c r="C51" s="266"/>
      <c r="D51" s="267"/>
      <c r="E51" s="268"/>
    </row>
    <row r="52" ht="35.1" customHeight="1" spans="1:5">
      <c r="A52" s="264"/>
      <c r="B52" s="265"/>
      <c r="C52" s="266"/>
      <c r="D52" s="267"/>
      <c r="E52" s="268"/>
    </row>
    <row r="53" ht="53.25" customHeight="1" spans="1:5">
      <c r="A53" s="264"/>
      <c r="B53" s="972"/>
      <c r="C53" s="266"/>
      <c r="D53" s="267"/>
      <c r="E53" s="268"/>
    </row>
    <row r="54" spans="1:5">
      <c r="A54" s="683"/>
      <c r="B54" s="684"/>
      <c r="C54" s="347"/>
      <c r="D54" s="348"/>
      <c r="E54" s="349"/>
    </row>
    <row r="55" ht="35.1" customHeight="1" spans="1:5">
      <c r="A55" s="683"/>
      <c r="B55" s="684"/>
      <c r="C55" s="347"/>
      <c r="D55" s="348"/>
      <c r="E55" s="349"/>
    </row>
    <row r="56" ht="35.1" customHeight="1" spans="1:5">
      <c r="A56" s="683"/>
      <c r="B56" s="684"/>
      <c r="C56" s="347"/>
      <c r="D56" s="348"/>
      <c r="E56" s="349"/>
    </row>
    <row r="57" ht="35.1" customHeight="1" spans="1:5">
      <c r="A57" s="683"/>
      <c r="B57" s="684"/>
      <c r="C57" s="347"/>
      <c r="D57" s="348"/>
      <c r="E57" s="349"/>
    </row>
    <row r="58" ht="7.5" customHeight="1" spans="1:5">
      <c r="A58" s="269"/>
      <c r="B58" s="270"/>
      <c r="C58" s="271"/>
      <c r="D58" s="272"/>
      <c r="E58" s="272"/>
    </row>
    <row r="59" ht="24.95" customHeight="1" spans="1:5">
      <c r="A59" s="428"/>
      <c r="B59" s="428"/>
      <c r="C59" s="428"/>
      <c r="D59" s="428"/>
      <c r="E59" s="428"/>
    </row>
    <row r="60" ht="39" customHeight="1" spans="1:5">
      <c r="A60" s="973"/>
      <c r="B60" s="974"/>
      <c r="C60" s="429"/>
      <c r="D60" s="429"/>
      <c r="E60" s="429"/>
    </row>
    <row r="61" ht="20.1" customHeight="1" spans="1:5">
      <c r="A61" s="394"/>
      <c r="B61" s="394"/>
      <c r="C61" s="395"/>
      <c r="D61" s="430"/>
      <c r="E61" s="431"/>
    </row>
    <row r="62" ht="20.1" customHeight="1" spans="1:5">
      <c r="A62" s="394"/>
      <c r="B62" s="394"/>
      <c r="C62" s="395"/>
      <c r="D62" s="430"/>
      <c r="E62" s="431"/>
    </row>
    <row r="66" spans="9:9">
      <c r="I66" s="1113" t="s">
        <v>72</v>
      </c>
    </row>
  </sheetData>
  <mergeCells count="19">
    <mergeCell ref="A1:E1"/>
    <mergeCell ref="A2:E2"/>
    <mergeCell ref="A3:E3"/>
    <mergeCell ref="A36:E36"/>
    <mergeCell ref="A37:E37"/>
    <mergeCell ref="A38:E38"/>
    <mergeCell ref="A39:E39"/>
    <mergeCell ref="A40:E40"/>
    <mergeCell ref="A41:E41"/>
    <mergeCell ref="A43:B43"/>
    <mergeCell ref="A44:B44"/>
    <mergeCell ref="A45:B45"/>
    <mergeCell ref="A47:E47"/>
    <mergeCell ref="A59:E59"/>
    <mergeCell ref="A60:B60"/>
    <mergeCell ref="A61:B61"/>
    <mergeCell ref="A62:B62"/>
    <mergeCell ref="A49:A53"/>
    <mergeCell ref="A54:A57"/>
  </mergeCells>
  <pageMargins left="1.18110236220472" right="0.748031496062992" top="0.196850393700787" bottom="0.196850393700787" header="0.511811023622047" footer="0.511811023622047"/>
  <pageSetup paperSize="9" scale="47" orientation="portrait" horizontalDpi="360" verticalDpi="36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40"/>
  <sheetViews>
    <sheetView showGridLines="0" topLeftCell="A19" workbookViewId="0">
      <selection activeCell="F41" sqref="A24:F41"/>
    </sheetView>
  </sheetViews>
  <sheetFormatPr defaultColWidth="9.14285714285714" defaultRowHeight="15.75" outlineLevelCol="6"/>
  <cols>
    <col min="1" max="3" width="30.7142857142857" style="186" customWidth="1"/>
    <col min="4" max="4" width="30.7142857142857" style="185" customWidth="1"/>
    <col min="5" max="5" width="30.7142857142857" style="186" customWidth="1"/>
    <col min="6" max="6" width="17.7142857142857" style="186" customWidth="1"/>
    <col min="7" max="7" width="15.7142857142857" style="186" customWidth="1"/>
    <col min="8" max="16384" width="9.14285714285714" style="186"/>
  </cols>
  <sheetData>
    <row r="1" s="324" customFormat="1" ht="36" customHeight="1" spans="1:5">
      <c r="A1" s="188" t="s">
        <v>73</v>
      </c>
      <c r="B1" s="189"/>
      <c r="C1" s="189"/>
      <c r="D1" s="190"/>
    </row>
    <row r="2" s="324" customFormat="1" ht="152" customHeight="1" spans="1:5">
      <c r="A2" s="204" t="s">
        <v>74</v>
      </c>
      <c r="B2" s="205"/>
      <c r="C2" s="205"/>
      <c r="D2" s="206"/>
      <c r="E2" s="941"/>
    </row>
    <row r="3" s="324" customFormat="1" ht="21" spans="1:5">
      <c r="A3" s="438" t="s">
        <v>75</v>
      </c>
      <c r="B3" s="193"/>
      <c r="C3" s="193"/>
      <c r="D3" s="490"/>
    </row>
    <row r="4" s="324" customFormat="1" ht="50.1" customHeight="1" spans="1:5">
      <c r="A4" s="226" t="s">
        <v>3</v>
      </c>
      <c r="B4" s="229"/>
      <c r="C4" s="226" t="s">
        <v>76</v>
      </c>
      <c r="D4" s="229"/>
    </row>
    <row r="5" s="324" customFormat="1" spans="1:5">
      <c r="A5" s="942">
        <v>0.263888888888889</v>
      </c>
      <c r="B5" s="943"/>
      <c r="C5" s="942">
        <v>0.284722222222222</v>
      </c>
      <c r="D5" s="943"/>
    </row>
    <row r="6" s="324" customFormat="1" spans="1:5">
      <c r="A6" s="942">
        <v>0.305555555555556</v>
      </c>
      <c r="B6" s="943"/>
      <c r="C6" s="944">
        <v>0.326388888888889</v>
      </c>
      <c r="D6" s="945"/>
    </row>
    <row r="7" s="324" customFormat="1" spans="1:5">
      <c r="A7" s="944">
        <v>0.347222222222222</v>
      </c>
      <c r="B7" s="945"/>
      <c r="C7" s="942">
        <v>0.368055555555556</v>
      </c>
      <c r="D7" s="943"/>
    </row>
    <row r="8" s="324" customFormat="1" spans="1:5">
      <c r="A8" s="942" t="s">
        <v>8</v>
      </c>
      <c r="B8" s="943"/>
      <c r="C8" s="942">
        <v>0.451388888888889</v>
      </c>
      <c r="D8" s="943"/>
    </row>
    <row r="9" s="324" customFormat="1" spans="1:5">
      <c r="A9" s="942">
        <v>0.472222222222222</v>
      </c>
      <c r="B9" s="943"/>
      <c r="C9" s="944">
        <v>0.5</v>
      </c>
      <c r="D9" s="945"/>
    </row>
    <row r="10" s="324" customFormat="1" spans="1:5">
      <c r="A10" s="944">
        <v>0.541666666666667</v>
      </c>
      <c r="B10" s="945"/>
      <c r="C10" s="942">
        <v>0.5625</v>
      </c>
      <c r="D10" s="943"/>
    </row>
    <row r="11" s="324" customFormat="1" spans="1:5">
      <c r="A11" s="942" t="s">
        <v>8</v>
      </c>
      <c r="B11" s="943"/>
      <c r="C11" s="944">
        <v>0.6875</v>
      </c>
      <c r="D11" s="945"/>
    </row>
    <row r="12" s="324" customFormat="1" spans="1:5">
      <c r="A12" s="944">
        <v>0.708333333333333</v>
      </c>
      <c r="B12" s="945"/>
      <c r="C12" s="942">
        <v>0.732638888888889</v>
      </c>
      <c r="D12" s="943"/>
    </row>
    <row r="13" s="324" customFormat="1" ht="16.5" spans="1:5">
      <c r="A13" s="946">
        <v>0.75</v>
      </c>
      <c r="B13" s="947"/>
      <c r="C13" s="946">
        <v>0.770833333333333</v>
      </c>
      <c r="D13" s="947"/>
    </row>
    <row r="14" s="324" customFormat="1" ht="5.1" customHeight="1" spans="1:5">
      <c r="A14" s="648"/>
      <c r="B14" s="648"/>
    </row>
    <row r="15" s="324" customFormat="1" ht="27.75" customHeight="1" spans="1:5">
      <c r="A15" s="657" t="s">
        <v>15</v>
      </c>
      <c r="B15" s="658"/>
      <c r="C15" s="658"/>
      <c r="D15" s="658"/>
      <c r="E15" s="648"/>
    </row>
    <row r="16" s="324" customFormat="1" ht="5.1" customHeight="1" spans="1:5">
      <c r="A16" s="723"/>
      <c r="B16" s="723"/>
      <c r="C16" s="723"/>
      <c r="D16" s="723"/>
      <c r="E16" s="648"/>
    </row>
    <row r="17" s="324" customFormat="1" ht="30" customHeight="1" spans="1:7">
      <c r="A17" s="699" t="s">
        <v>16</v>
      </c>
      <c r="B17" s="700"/>
      <c r="C17" s="700"/>
      <c r="D17" s="700"/>
      <c r="E17" s="724"/>
    </row>
    <row r="18" s="324" customFormat="1" ht="56.25" customHeight="1" spans="1:7">
      <c r="A18" s="868" t="s">
        <v>77</v>
      </c>
      <c r="B18" s="869"/>
      <c r="C18" s="869"/>
      <c r="D18" s="870"/>
      <c r="E18" s="725"/>
    </row>
    <row r="19" s="324" customFormat="1" ht="56.25" customHeight="1" spans="1:7">
      <c r="A19" s="868" t="s">
        <v>78</v>
      </c>
      <c r="B19" s="869"/>
      <c r="C19" s="869"/>
      <c r="D19" s="870"/>
      <c r="E19" s="725"/>
    </row>
    <row r="20" s="324" customFormat="1" ht="5.1" customHeight="1" spans="1:7">
      <c r="A20" s="648"/>
      <c r="B20" s="648"/>
    </row>
    <row r="21" customFormat="1" ht="30" customHeight="1" spans="1:7">
      <c r="A21" s="727" t="s">
        <v>20</v>
      </c>
      <c r="B21" s="728"/>
      <c r="C21" s="728"/>
      <c r="D21" s="729"/>
    </row>
    <row r="22" customFormat="1" ht="23.25" customHeight="1" spans="1:7">
      <c r="A22" s="948" t="s">
        <v>79</v>
      </c>
      <c r="B22" s="949"/>
      <c r="C22" s="949"/>
      <c r="D22" s="950"/>
    </row>
    <row r="23" s="182" customFormat="1" ht="4.5" customHeight="1" spans="1:7">
      <c r="C23" s="212"/>
      <c r="D23" s="213"/>
      <c r="E23" s="212"/>
      <c r="F23" s="212"/>
      <c r="G23" s="212"/>
    </row>
    <row r="24" s="184" customFormat="1" ht="24.95" customHeight="1" spans="1:7">
      <c r="A24" s="258"/>
      <c r="B24" s="259"/>
      <c r="C24" s="259"/>
      <c r="D24" s="259"/>
      <c r="E24" s="259"/>
    </row>
    <row r="25" spans="1:7">
      <c r="A25" s="260"/>
      <c r="B25" s="260"/>
      <c r="C25" s="261"/>
      <c r="D25" s="262"/>
      <c r="E25" s="262"/>
    </row>
    <row r="26" ht="30" customHeight="1" spans="1:7">
      <c r="A26" s="264"/>
      <c r="B26" s="265"/>
      <c r="C26" s="266"/>
      <c r="D26" s="267"/>
      <c r="E26" s="268"/>
    </row>
    <row r="27" ht="30" customHeight="1" spans="1:7">
      <c r="A27" s="264"/>
      <c r="B27" s="265"/>
      <c r="C27" s="266"/>
      <c r="D27" s="267"/>
      <c r="E27" s="268"/>
    </row>
    <row r="28" ht="36.75" customHeight="1" spans="1:7">
      <c r="A28" s="264"/>
      <c r="B28" s="265"/>
      <c r="C28" s="266"/>
      <c r="D28" s="267"/>
      <c r="E28" s="268"/>
    </row>
    <row r="29" ht="36.75" customHeight="1" spans="1:7">
      <c r="A29" s="264"/>
      <c r="B29" s="265"/>
      <c r="C29" s="266"/>
      <c r="D29" s="267"/>
      <c r="E29" s="268"/>
    </row>
    <row r="30" ht="59.25" customHeight="1" spans="1:7">
      <c r="A30" s="264"/>
      <c r="B30" s="265"/>
      <c r="C30" s="266"/>
      <c r="D30" s="267"/>
      <c r="E30" s="268"/>
    </row>
    <row r="31" ht="30" customHeight="1" spans="1:7">
      <c r="A31" s="683"/>
      <c r="B31" s="684"/>
      <c r="C31" s="347"/>
      <c r="D31" s="348"/>
      <c r="E31" s="349"/>
    </row>
    <row r="32" ht="30" customHeight="1" spans="1:7">
      <c r="A32" s="683"/>
      <c r="B32" s="684"/>
      <c r="C32" s="347"/>
      <c r="D32" s="348"/>
      <c r="E32" s="349"/>
    </row>
    <row r="33" ht="30" customHeight="1" spans="1:7">
      <c r="A33" s="683"/>
      <c r="B33" s="684"/>
      <c r="C33" s="347"/>
      <c r="D33" s="348"/>
      <c r="E33" s="349"/>
    </row>
    <row r="34" ht="30" customHeight="1" spans="1:7">
      <c r="A34" s="683"/>
      <c r="B34" s="684"/>
      <c r="C34" s="347"/>
      <c r="D34" s="348"/>
      <c r="E34" s="349"/>
    </row>
    <row r="35" ht="30" customHeight="1" spans="1:7">
      <c r="A35" s="683"/>
      <c r="B35" s="684"/>
      <c r="C35" s="347"/>
      <c r="D35" s="348"/>
      <c r="E35" s="349"/>
    </row>
    <row r="36" ht="7.5" customHeight="1" spans="1:7">
      <c r="A36" s="269"/>
      <c r="B36" s="270"/>
      <c r="C36" s="271"/>
      <c r="D36" s="272"/>
      <c r="E36" s="272"/>
    </row>
    <row r="37" ht="24.95" customHeight="1" spans="1:7">
      <c r="A37" s="730"/>
      <c r="B37" s="600"/>
      <c r="C37" s="600"/>
      <c r="D37" s="600"/>
      <c r="E37" s="600"/>
      <c r="G37" s="185"/>
    </row>
    <row r="38" ht="24.95" customHeight="1" spans="1:7">
      <c r="A38" s="731"/>
      <c r="B38" s="731"/>
      <c r="C38" s="731"/>
      <c r="D38" s="731"/>
      <c r="E38" s="731"/>
      <c r="G38" s="185"/>
    </row>
    <row r="39" ht="20.1" customHeight="1" spans="1:7">
      <c r="A39" s="280"/>
      <c r="B39" s="280"/>
      <c r="C39" s="281"/>
      <c r="D39" s="282"/>
      <c r="E39" s="408"/>
      <c r="G39" s="185"/>
    </row>
    <row r="40" ht="20.1" customHeight="1" spans="1:7">
      <c r="A40" s="280"/>
      <c r="B40" s="280"/>
      <c r="C40" s="281"/>
      <c r="D40" s="282"/>
      <c r="E40" s="408"/>
      <c r="G40" s="185"/>
    </row>
  </sheetData>
  <mergeCells count="36">
    <mergeCell ref="A1:D1"/>
    <mergeCell ref="A2:D2"/>
    <mergeCell ref="A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5:D15"/>
    <mergeCell ref="A17:D17"/>
    <mergeCell ref="A18:D18"/>
    <mergeCell ref="A19:D19"/>
    <mergeCell ref="A21:D21"/>
    <mergeCell ref="A22:D22"/>
    <mergeCell ref="A24:E24"/>
    <mergeCell ref="A37:E37"/>
    <mergeCell ref="A38:B38"/>
    <mergeCell ref="A39:B39"/>
    <mergeCell ref="A40:B40"/>
    <mergeCell ref="A26:A30"/>
    <mergeCell ref="A31:A35"/>
  </mergeCells>
  <pageMargins left="1.18110236220472" right="0.748031496062992" top="0.196850393700787" bottom="0.196850393700787" header="0.511811023622047" footer="0.511811023622047"/>
  <pageSetup paperSize="9" scale="74" orientation="portrait"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28"/>
  <sheetViews>
    <sheetView showGridLines="0" topLeftCell="A18" workbookViewId="0">
      <selection activeCell="J28" sqref="A16:J28"/>
    </sheetView>
  </sheetViews>
  <sheetFormatPr defaultColWidth="9.14285714285714" defaultRowHeight="15.75"/>
  <cols>
    <col min="1" max="3" width="27.1428571428571" style="186" customWidth="1"/>
    <col min="4" max="4" width="27.1428571428571" style="185" customWidth="1"/>
    <col min="5" max="6" width="27.5714285714286" style="186" customWidth="1"/>
    <col min="7" max="7" width="20.7142857142857" style="185" customWidth="1"/>
    <col min="8" max="9" width="20.7142857142857" style="186" customWidth="1"/>
    <col min="10" max="16384" width="9.14285714285714" style="186"/>
  </cols>
  <sheetData>
    <row r="1" ht="30.75" customHeight="1"/>
    <row r="2" s="324" customFormat="1" ht="33" customHeight="1" spans="1:9">
      <c r="A2" s="932" t="s">
        <v>80</v>
      </c>
      <c r="B2" s="933"/>
      <c r="C2" s="933"/>
      <c r="D2" s="933"/>
      <c r="E2" s="933"/>
      <c r="F2" s="934"/>
    </row>
    <row r="3" s="324" customFormat="1" ht="44" customHeight="1" spans="1:9">
      <c r="A3" s="204" t="s">
        <v>81</v>
      </c>
      <c r="B3" s="205"/>
      <c r="C3" s="205"/>
      <c r="D3" s="205"/>
      <c r="E3" s="205"/>
      <c r="F3" s="206"/>
    </row>
    <row r="4" s="324" customFormat="1" ht="26.1" customHeight="1" spans="1:9">
      <c r="A4" s="438" t="s">
        <v>27</v>
      </c>
      <c r="B4" s="193"/>
      <c r="C4" s="193"/>
      <c r="D4" s="193"/>
      <c r="E4" s="193"/>
      <c r="F4" s="490"/>
    </row>
    <row r="5" s="324" customFormat="1" ht="47.25" customHeight="1" spans="1:9">
      <c r="A5" s="935" t="s">
        <v>82</v>
      </c>
      <c r="B5" s="935" t="s">
        <v>83</v>
      </c>
      <c r="C5" s="935" t="s">
        <v>84</v>
      </c>
      <c r="D5" s="935" t="s">
        <v>85</v>
      </c>
      <c r="E5" s="935" t="s">
        <v>84</v>
      </c>
      <c r="F5" s="218" t="s">
        <v>86</v>
      </c>
    </row>
    <row r="6" s="324" customFormat="1" spans="1:9">
      <c r="A6" s="288" t="s">
        <v>8</v>
      </c>
      <c r="B6" s="289" t="s">
        <v>8</v>
      </c>
      <c r="C6" s="936" t="s">
        <v>8</v>
      </c>
      <c r="D6" s="936">
        <v>0.277777777777778</v>
      </c>
      <c r="E6" s="936" t="s">
        <v>8</v>
      </c>
      <c r="F6" s="290" t="s">
        <v>8</v>
      </c>
    </row>
    <row r="7" s="324" customFormat="1" spans="1:9">
      <c r="A7" s="453">
        <v>0.291666666666667</v>
      </c>
      <c r="B7" s="291">
        <v>0.295138888888889</v>
      </c>
      <c r="C7" s="937">
        <v>0.309027777777778</v>
      </c>
      <c r="D7" s="937">
        <v>0.319444444444444</v>
      </c>
      <c r="E7" s="937" t="s">
        <v>8</v>
      </c>
      <c r="F7" s="536" t="s">
        <v>8</v>
      </c>
    </row>
    <row r="8" s="324" customFormat="1" spans="1:9">
      <c r="A8" s="453">
        <v>0.340277777777778</v>
      </c>
      <c r="B8" s="291">
        <v>0.34375</v>
      </c>
      <c r="C8" s="937" t="s">
        <v>8</v>
      </c>
      <c r="D8" s="937">
        <v>0.361111111111111</v>
      </c>
      <c r="E8" s="937">
        <v>0.368055555555556</v>
      </c>
      <c r="F8" s="536" t="s">
        <v>8</v>
      </c>
    </row>
    <row r="9" s="324" customFormat="1" spans="1:9">
      <c r="A9" s="453">
        <v>0.381944444444444</v>
      </c>
      <c r="B9" s="291" t="s">
        <v>8</v>
      </c>
      <c r="C9" s="937" t="s">
        <v>8</v>
      </c>
      <c r="D9" s="937" t="s">
        <v>8</v>
      </c>
      <c r="E9" s="938" t="s">
        <v>8</v>
      </c>
      <c r="F9" s="536" t="s">
        <v>8</v>
      </c>
    </row>
    <row r="10" s="324" customFormat="1" spans="1:9">
      <c r="A10" s="419">
        <v>0.479166666666667</v>
      </c>
      <c r="B10" s="420">
        <v>0.482638888888889</v>
      </c>
      <c r="C10" s="939">
        <v>0.496527777777778</v>
      </c>
      <c r="D10" s="939">
        <v>0.5</v>
      </c>
      <c r="E10" s="939" t="s">
        <v>8</v>
      </c>
      <c r="F10" s="536" t="s">
        <v>8</v>
      </c>
    </row>
    <row r="11" s="324" customFormat="1" spans="1:9">
      <c r="A11" s="419">
        <v>0.520833333333333</v>
      </c>
      <c r="B11" s="420">
        <v>0.524305555555556</v>
      </c>
      <c r="C11" s="939" t="s">
        <v>8</v>
      </c>
      <c r="D11" s="939">
        <v>0.538194444444444</v>
      </c>
      <c r="E11" s="939">
        <v>0.541666666666667</v>
      </c>
      <c r="F11" s="536" t="s">
        <v>8</v>
      </c>
    </row>
    <row r="12" s="324" customFormat="1" spans="1:9">
      <c r="A12" s="419">
        <v>0.5625</v>
      </c>
      <c r="B12" s="420">
        <v>0.565972222222222</v>
      </c>
      <c r="C12" s="939" t="s">
        <v>8</v>
      </c>
      <c r="D12" s="939">
        <v>0.583333333333333</v>
      </c>
      <c r="E12" s="939">
        <v>0.586805555555556</v>
      </c>
      <c r="F12" s="536" t="s">
        <v>8</v>
      </c>
    </row>
    <row r="13" s="324" customFormat="1" spans="1:9">
      <c r="A13" s="419">
        <v>0.604166666666667</v>
      </c>
      <c r="B13" s="420" t="s">
        <v>8</v>
      </c>
      <c r="C13" s="939" t="s">
        <v>8</v>
      </c>
      <c r="D13" s="939" t="s">
        <v>8</v>
      </c>
      <c r="E13" s="939" t="s">
        <v>8</v>
      </c>
      <c r="F13" s="536" t="s">
        <v>8</v>
      </c>
    </row>
    <row r="14" s="324" customFormat="1" spans="1:9">
      <c r="A14" s="453">
        <v>0.71875</v>
      </c>
      <c r="B14" s="291">
        <v>0.722222222222222</v>
      </c>
      <c r="C14" s="937" t="s">
        <v>8</v>
      </c>
      <c r="D14" s="937">
        <v>0.729166666666667</v>
      </c>
      <c r="E14" s="937">
        <v>0.739583333333333</v>
      </c>
      <c r="F14" s="536">
        <v>0.743055555555556</v>
      </c>
    </row>
    <row r="15" s="324" customFormat="1" ht="5.1" customHeight="1" spans="1:9">
      <c r="A15" s="706"/>
      <c r="B15" s="706"/>
      <c r="C15" s="706"/>
      <c r="D15" s="706"/>
      <c r="E15" s="706"/>
    </row>
    <row r="16" s="184" customFormat="1" ht="24.95" customHeight="1" spans="1:9">
      <c r="A16" s="788"/>
      <c r="B16" s="788"/>
      <c r="C16" s="788"/>
      <c r="D16" s="788"/>
      <c r="E16" s="788"/>
      <c r="F16" s="788"/>
      <c r="G16" s="788"/>
      <c r="H16" s="788"/>
      <c r="I16" s="788"/>
    </row>
    <row r="17" s="184" customFormat="1" ht="24.95" customHeight="1" spans="1:9">
      <c r="A17" s="262"/>
      <c r="B17" s="262"/>
      <c r="C17" s="261"/>
      <c r="D17" s="788"/>
      <c r="E17" s="788"/>
      <c r="F17" s="788"/>
      <c r="G17" s="788"/>
      <c r="H17" s="788"/>
      <c r="I17" s="792"/>
    </row>
    <row r="18" ht="42" customHeight="1" spans="1:9">
      <c r="A18" s="262"/>
      <c r="B18" s="262"/>
      <c r="C18" s="261"/>
      <c r="D18" s="262"/>
      <c r="E18" s="262"/>
      <c r="F18" s="262"/>
      <c r="G18" s="262"/>
      <c r="H18" s="788"/>
      <c r="I18" s="792"/>
    </row>
    <row r="19" ht="37.5" customHeight="1" spans="1:9">
      <c r="A19" s="264"/>
      <c r="B19" s="265"/>
      <c r="C19" s="266"/>
      <c r="D19" s="267"/>
      <c r="E19" s="268"/>
      <c r="F19" s="267"/>
      <c r="G19" s="268"/>
      <c r="H19" s="267"/>
      <c r="I19" s="268"/>
    </row>
    <row r="20" ht="30" customHeight="1" spans="1:9">
      <c r="A20" s="264"/>
      <c r="B20" s="265"/>
      <c r="C20" s="266"/>
      <c r="D20" s="267"/>
      <c r="E20" s="268"/>
      <c r="F20" s="267"/>
      <c r="G20" s="268"/>
      <c r="H20" s="267"/>
      <c r="I20" s="268"/>
    </row>
    <row r="21" ht="30" customHeight="1" spans="1:9">
      <c r="A21" s="264"/>
      <c r="B21" s="265"/>
      <c r="C21" s="266"/>
      <c r="D21" s="267"/>
      <c r="E21" s="268"/>
      <c r="F21" s="267"/>
      <c r="G21" s="268"/>
      <c r="H21" s="267"/>
      <c r="I21" s="268"/>
    </row>
    <row r="22" ht="30" customHeight="1" spans="1:9">
      <c r="A22" s="264"/>
      <c r="B22" s="940"/>
      <c r="C22" s="266"/>
      <c r="D22" s="267"/>
      <c r="E22" s="268"/>
      <c r="F22" s="267"/>
      <c r="G22" s="268"/>
      <c r="H22" s="267"/>
      <c r="I22" s="268"/>
    </row>
    <row r="23" ht="30" customHeight="1" spans="1:9">
      <c r="A23" s="264"/>
      <c r="B23" s="265"/>
      <c r="C23" s="266"/>
      <c r="D23" s="267"/>
      <c r="E23" s="268"/>
      <c r="F23" s="267"/>
      <c r="G23" s="268"/>
      <c r="H23" s="267"/>
      <c r="I23" s="268"/>
    </row>
    <row r="24" ht="7.5" customHeight="1" spans="1:9">
      <c r="A24" s="269"/>
      <c r="B24" s="270"/>
      <c r="C24" s="271"/>
      <c r="D24" s="272"/>
      <c r="E24" s="272"/>
      <c r="G24" s="186"/>
    </row>
    <row r="25" ht="24.95" customHeight="1" spans="1:9">
      <c r="A25" s="392"/>
      <c r="B25" s="392"/>
      <c r="C25" s="392"/>
      <c r="D25" s="392"/>
      <c r="E25" s="392"/>
      <c r="F25" s="392"/>
      <c r="G25" s="392"/>
      <c r="H25" s="392"/>
      <c r="I25" s="392"/>
    </row>
    <row r="26" ht="24.95" customHeight="1" spans="1:9">
      <c r="A26" s="460"/>
      <c r="B26" s="460"/>
      <c r="C26" s="392"/>
      <c r="D26" s="392"/>
      <c r="E26" s="392"/>
      <c r="F26" s="392"/>
      <c r="G26" s="460"/>
      <c r="H26" s="460"/>
      <c r="I26" s="460"/>
    </row>
    <row r="27" ht="24.95" customHeight="1" spans="1:9">
      <c r="A27" s="460"/>
      <c r="B27" s="460"/>
      <c r="C27" s="460"/>
      <c r="D27" s="460"/>
      <c r="E27" s="460"/>
      <c r="F27" s="460"/>
      <c r="G27" s="460"/>
      <c r="H27" s="460"/>
      <c r="I27" s="460"/>
    </row>
    <row r="28" ht="20.1" customHeight="1" spans="1:9">
      <c r="A28" s="461"/>
      <c r="B28" s="461"/>
      <c r="C28" s="462"/>
      <c r="D28" s="463"/>
      <c r="E28" s="462"/>
      <c r="F28" s="463"/>
      <c r="G28" s="462"/>
      <c r="H28" s="463"/>
      <c r="I28" s="464"/>
    </row>
  </sheetData>
  <mergeCells count="20">
    <mergeCell ref="A2:F2"/>
    <mergeCell ref="A3:F3"/>
    <mergeCell ref="A4:F4"/>
    <mergeCell ref="A16:I16"/>
    <mergeCell ref="D17:E17"/>
    <mergeCell ref="F17:G17"/>
    <mergeCell ref="A25:I25"/>
    <mergeCell ref="C26:D26"/>
    <mergeCell ref="E26:F26"/>
    <mergeCell ref="A28:B28"/>
    <mergeCell ref="A17:A18"/>
    <mergeCell ref="A19:A23"/>
    <mergeCell ref="B17:B18"/>
    <mergeCell ref="C17:C18"/>
    <mergeCell ref="G26:G27"/>
    <mergeCell ref="H17:H18"/>
    <mergeCell ref="H26:H27"/>
    <mergeCell ref="I17:I18"/>
    <mergeCell ref="I26:I27"/>
    <mergeCell ref="A26:B27"/>
  </mergeCells>
  <pageMargins left="0.25" right="0.25" top="0.75" bottom="0.75" header="0.3" footer="0.3"/>
  <pageSetup paperSize="9" scale="81" orientation="portrait" horizontalDpi="300" verticalDpi="300"/>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41"/>
  <sheetViews>
    <sheetView showGridLines="0" topLeftCell="A22" workbookViewId="0">
      <selection activeCell="F41" sqref="A27:F41"/>
    </sheetView>
  </sheetViews>
  <sheetFormatPr defaultColWidth="9.14285714285714" defaultRowHeight="15.75" outlineLevelCol="7"/>
  <cols>
    <col min="1" max="3" width="30.7142857142857" style="186" customWidth="1"/>
    <col min="4" max="4" width="30.7142857142857" style="185" customWidth="1"/>
    <col min="5" max="5" width="30.7142857142857" style="186" customWidth="1"/>
    <col min="6" max="6" width="17.7142857142857" style="186" customWidth="1"/>
    <col min="7" max="7" width="15.7142857142857" style="185" customWidth="1"/>
    <col min="8" max="8" width="15.7142857142857" style="186" customWidth="1"/>
    <col min="9" max="16384" width="9.14285714285714" style="186"/>
  </cols>
  <sheetData>
    <row r="1" s="324" customFormat="1" ht="30" customHeight="1" spans="1:6">
      <c r="A1" s="325" t="s">
        <v>87</v>
      </c>
      <c r="B1" s="326"/>
      <c r="C1" s="326"/>
      <c r="D1" s="327"/>
    </row>
    <row r="2" s="324" customFormat="1" ht="79" customHeight="1" spans="1:6">
      <c r="A2" s="222" t="s">
        <v>88</v>
      </c>
      <c r="B2" s="691"/>
      <c r="C2" s="691"/>
      <c r="D2" s="692"/>
    </row>
    <row r="3" s="324" customFormat="1" ht="30" customHeight="1" spans="1:6">
      <c r="A3" s="909" t="s">
        <v>89</v>
      </c>
      <c r="B3" s="910"/>
      <c r="C3" s="910"/>
      <c r="D3" s="911"/>
    </row>
    <row r="4" s="324" customFormat="1" ht="48" spans="1:6">
      <c r="A4" s="201" t="s">
        <v>90</v>
      </c>
      <c r="B4" s="201" t="s">
        <v>46</v>
      </c>
      <c r="C4" s="201" t="s">
        <v>91</v>
      </c>
      <c r="D4" s="201" t="s">
        <v>7</v>
      </c>
    </row>
    <row r="5" s="324" customFormat="1" spans="1:6">
      <c r="A5" s="440" t="s">
        <v>8</v>
      </c>
      <c r="B5" s="442" t="s">
        <v>8</v>
      </c>
      <c r="C5" s="442">
        <v>0.25</v>
      </c>
      <c r="D5" s="443">
        <v>0.256944444444444</v>
      </c>
      <c r="E5" s="923" t="s">
        <v>92</v>
      </c>
      <c r="F5" s="923"/>
    </row>
    <row r="6" s="324" customFormat="1" spans="1:6">
      <c r="A6" s="924">
        <v>0.267361111111111</v>
      </c>
      <c r="B6" s="925">
        <v>0.284722222222222</v>
      </c>
      <c r="C6" s="925">
        <v>0.291666666666667</v>
      </c>
      <c r="D6" s="926">
        <v>0.298611111111111</v>
      </c>
    </row>
    <row r="7" s="324" customFormat="1" spans="1:6">
      <c r="A7" s="924">
        <v>0.309027777777778</v>
      </c>
      <c r="B7" s="925">
        <v>0.326388888888889</v>
      </c>
      <c r="C7" s="925">
        <v>0.333333333333333</v>
      </c>
      <c r="D7" s="926">
        <v>0.340277777777778</v>
      </c>
    </row>
    <row r="8" s="324" customFormat="1" spans="1:6">
      <c r="A8" s="924">
        <v>0.350694444444444</v>
      </c>
      <c r="B8" s="925">
        <v>0.368055555555556</v>
      </c>
      <c r="C8" s="925">
        <v>0.375</v>
      </c>
      <c r="D8" s="926">
        <v>0.381944444444444</v>
      </c>
    </row>
    <row r="9" s="324" customFormat="1" spans="1:6">
      <c r="A9" s="924">
        <v>0.392361111111111</v>
      </c>
      <c r="B9" s="925">
        <v>0.409722222222222</v>
      </c>
      <c r="C9" s="925">
        <v>0.416666666666667</v>
      </c>
      <c r="D9" s="926">
        <v>0.423611111111111</v>
      </c>
    </row>
    <row r="10" s="324" customFormat="1" spans="1:6">
      <c r="A10" s="924">
        <v>0.434027777777778</v>
      </c>
      <c r="B10" s="925">
        <v>0.451388888888889</v>
      </c>
      <c r="C10" s="925">
        <v>0.458333333333333</v>
      </c>
      <c r="D10" s="926">
        <v>0.465277777777778</v>
      </c>
    </row>
    <row r="11" s="324" customFormat="1" spans="1:6">
      <c r="A11" s="924">
        <v>0.475694444444444</v>
      </c>
      <c r="B11" s="925">
        <v>0.493055555555556</v>
      </c>
      <c r="C11" s="925">
        <v>0.5</v>
      </c>
      <c r="D11" s="926">
        <v>0.506944444444444</v>
      </c>
    </row>
    <row r="12" s="324" customFormat="1" spans="1:6">
      <c r="A12" s="927">
        <v>0.538194444444444</v>
      </c>
      <c r="B12" s="925">
        <v>0.555555555555556</v>
      </c>
      <c r="C12" s="925">
        <v>0.5625</v>
      </c>
      <c r="D12" s="926" t="s">
        <v>8</v>
      </c>
    </row>
    <row r="13" s="324" customFormat="1" spans="1:6">
      <c r="A13" s="924" t="s">
        <v>8</v>
      </c>
      <c r="B13" s="925" t="s">
        <v>8</v>
      </c>
      <c r="C13" s="925">
        <v>0.6875</v>
      </c>
      <c r="D13" s="926">
        <v>0.694444444444445</v>
      </c>
    </row>
    <row r="14" s="324" customFormat="1" ht="16.5" spans="1:6">
      <c r="A14" s="928">
        <v>0.704861111111111</v>
      </c>
      <c r="B14" s="927">
        <v>0.722222222222222</v>
      </c>
      <c r="C14" s="929">
        <v>0.75</v>
      </c>
      <c r="D14" s="926">
        <v>0.756944444444444</v>
      </c>
    </row>
    <row r="15" s="324" customFormat="1" ht="16.5" spans="1:6">
      <c r="A15" s="928">
        <v>0.767361111111111</v>
      </c>
      <c r="B15" s="445">
        <v>0.784722222222222</v>
      </c>
      <c r="C15" s="445">
        <v>0.791666666666667</v>
      </c>
      <c r="D15" s="446" t="s">
        <v>8</v>
      </c>
    </row>
    <row r="16" s="324" customFormat="1" ht="13.5"/>
    <row r="17" s="324" customFormat="1" ht="21" spans="1:8">
      <c r="A17" s="657" t="s">
        <v>15</v>
      </c>
      <c r="B17" s="658"/>
      <c r="C17" s="658"/>
      <c r="D17" s="659"/>
    </row>
    <row r="18" s="324" customFormat="1" ht="6" customHeight="1" spans="1:8">
      <c r="A18" s="698"/>
      <c r="B18" s="698"/>
      <c r="C18" s="698"/>
      <c r="D18" s="698"/>
    </row>
    <row r="19" s="324" customFormat="1" ht="18.75" spans="1:8">
      <c r="A19" s="699" t="s">
        <v>16</v>
      </c>
      <c r="B19" s="700"/>
      <c r="C19" s="700"/>
      <c r="D19" s="701"/>
      <c r="E19" s="724"/>
    </row>
    <row r="20" s="324" customFormat="1" ht="27.75" customHeight="1" spans="1:8">
      <c r="A20" s="896" t="s">
        <v>93</v>
      </c>
      <c r="B20" s="897"/>
      <c r="C20" s="897"/>
      <c r="D20" s="898"/>
      <c r="E20" s="725"/>
    </row>
    <row r="21" customFormat="1" ht="75.95" customHeight="1" spans="1:8">
      <c r="A21" s="663" t="s">
        <v>94</v>
      </c>
      <c r="B21" s="664"/>
      <c r="C21" s="664"/>
      <c r="D21" s="664"/>
      <c r="E21" s="930"/>
      <c r="H21" s="632"/>
    </row>
    <row r="22" customFormat="1" ht="75.95" customHeight="1" spans="1:8">
      <c r="A22" s="663" t="s">
        <v>95</v>
      </c>
      <c r="B22" s="664"/>
      <c r="C22" s="664"/>
      <c r="D22" s="664"/>
      <c r="E22" s="930"/>
      <c r="H22" s="632"/>
    </row>
    <row r="23" s="324" customFormat="1" ht="9" customHeight="1" spans="1:8">
      <c r="A23" s="698"/>
      <c r="B23" s="698"/>
      <c r="C23" s="698"/>
      <c r="D23" s="698"/>
    </row>
    <row r="24" customFormat="1" ht="21" spans="1:8">
      <c r="A24" s="727" t="s">
        <v>20</v>
      </c>
      <c r="B24" s="728"/>
      <c r="C24" s="728"/>
      <c r="D24" s="729"/>
    </row>
    <row r="25" customFormat="1" ht="16.5" spans="1:8">
      <c r="A25" s="702" t="s">
        <v>96</v>
      </c>
      <c r="B25" s="703"/>
      <c r="C25" s="703"/>
      <c r="D25" s="704"/>
    </row>
    <row r="26" s="182" customFormat="1" ht="18" spans="1:8">
      <c r="C26" s="212"/>
      <c r="D26" s="213"/>
      <c r="E26" s="212"/>
      <c r="F26" s="212"/>
      <c r="G26" s="213"/>
      <c r="H26" s="212"/>
    </row>
    <row r="27" s="184" customFormat="1" ht="17.25" spans="1:8">
      <c r="A27" s="258"/>
      <c r="B27" s="259"/>
      <c r="C27" s="259"/>
      <c r="D27" s="259"/>
      <c r="E27" s="259"/>
    </row>
    <row r="28" spans="1:8">
      <c r="A28" s="260"/>
      <c r="B28" s="260"/>
      <c r="C28" s="261"/>
      <c r="D28" s="262"/>
      <c r="E28" s="262"/>
      <c r="G28" s="186"/>
    </row>
    <row r="29" spans="1:8">
      <c r="A29" s="264"/>
      <c r="B29" s="301"/>
      <c r="C29" s="427"/>
      <c r="D29" s="303"/>
      <c r="E29" s="619"/>
      <c r="G29" s="263"/>
    </row>
    <row r="30" spans="1:8">
      <c r="A30" s="264"/>
      <c r="B30" s="301"/>
      <c r="C30" s="427"/>
      <c r="D30" s="303"/>
      <c r="E30" s="619"/>
      <c r="G30" s="329"/>
    </row>
    <row r="31" spans="1:8">
      <c r="A31" s="264"/>
      <c r="B31" s="301"/>
      <c r="C31" s="427"/>
      <c r="D31" s="303"/>
      <c r="E31" s="619"/>
      <c r="G31" s="678"/>
    </row>
    <row r="32" spans="1:8">
      <c r="A32" s="264"/>
      <c r="B32" s="301"/>
      <c r="C32" s="427"/>
      <c r="D32" s="303"/>
      <c r="E32" s="619"/>
      <c r="G32" s="329"/>
    </row>
    <row r="33" spans="1:7">
      <c r="A33" s="683"/>
      <c r="B33" s="705"/>
      <c r="C33" s="427"/>
      <c r="D33" s="303"/>
      <c r="E33" s="619"/>
      <c r="G33" s="186"/>
    </row>
    <row r="34" spans="1:7">
      <c r="A34" s="683"/>
      <c r="B34" s="705"/>
      <c r="C34" s="427"/>
      <c r="D34" s="303"/>
      <c r="E34" s="619"/>
      <c r="G34" s="186"/>
    </row>
    <row r="35" spans="1:7">
      <c r="A35" s="683"/>
      <c r="B35" s="705"/>
      <c r="C35" s="427"/>
      <c r="D35" s="303"/>
      <c r="E35" s="619"/>
      <c r="G35" s="186"/>
    </row>
    <row r="36" spans="1:7">
      <c r="A36" s="683"/>
      <c r="B36" s="684"/>
      <c r="C36" s="347"/>
      <c r="D36" s="348"/>
      <c r="E36" s="349"/>
      <c r="G36" s="186"/>
    </row>
    <row r="37" spans="1:7">
      <c r="A37" s="269"/>
      <c r="B37" s="270"/>
      <c r="C37" s="271"/>
      <c r="D37" s="272"/>
      <c r="E37" s="272"/>
      <c r="G37" s="186"/>
    </row>
    <row r="38" ht="28.5" customHeight="1" spans="1:7">
      <c r="A38" s="730"/>
      <c r="B38" s="600"/>
      <c r="C38" s="600"/>
      <c r="D38" s="600"/>
      <c r="E38" s="600"/>
    </row>
    <row r="39" ht="23.25" customHeight="1" spans="1:7">
      <c r="A39" s="731"/>
      <c r="B39" s="731"/>
      <c r="C39" s="731"/>
      <c r="D39" s="731"/>
      <c r="E39" s="731"/>
    </row>
    <row r="40" ht="17.25" spans="1:7">
      <c r="A40" s="280"/>
      <c r="B40" s="280"/>
      <c r="C40" s="281"/>
      <c r="D40" s="282"/>
      <c r="E40" s="408"/>
      <c r="F40" s="931"/>
    </row>
    <row r="41" ht="17.25" spans="1:7">
      <c r="A41" s="280"/>
      <c r="B41" s="280"/>
      <c r="C41" s="281"/>
      <c r="D41" s="282"/>
      <c r="E41" s="408"/>
    </row>
  </sheetData>
  <mergeCells count="18">
    <mergeCell ref="A1:D1"/>
    <mergeCell ref="A2:D2"/>
    <mergeCell ref="A3:D3"/>
    <mergeCell ref="A17:D17"/>
    <mergeCell ref="A18:D18"/>
    <mergeCell ref="A19:D19"/>
    <mergeCell ref="A20:D20"/>
    <mergeCell ref="A21:D21"/>
    <mergeCell ref="A22:D22"/>
    <mergeCell ref="A24:D24"/>
    <mergeCell ref="A25:D25"/>
    <mergeCell ref="A27:E27"/>
    <mergeCell ref="A38:E38"/>
    <mergeCell ref="A39:B39"/>
    <mergeCell ref="A40:B40"/>
    <mergeCell ref="A41:B41"/>
    <mergeCell ref="A29:A32"/>
    <mergeCell ref="A33:A36"/>
  </mergeCells>
  <pageMargins left="1.18110236220472" right="0.748031496062992" top="0.196850393700787" bottom="0.196850393700787" header="0.511811023622047" footer="0.511811023622047"/>
  <pageSetup paperSize="9" scale="44" orientation="portrait"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9"/>
  <sheetViews>
    <sheetView showGridLines="0" topLeftCell="A21" workbookViewId="0">
      <selection activeCell="F39" sqref="A26:F39"/>
    </sheetView>
  </sheetViews>
  <sheetFormatPr defaultColWidth="9.14285714285714" defaultRowHeight="15.75" outlineLevelCol="7"/>
  <cols>
    <col min="1" max="3" width="30.7142857142857" style="186" customWidth="1"/>
    <col min="4" max="4" width="30.7142857142857" style="185" customWidth="1"/>
    <col min="5" max="5" width="30.7142857142857" style="186" customWidth="1"/>
    <col min="6" max="6" width="17.7142857142857" style="186" customWidth="1"/>
    <col min="7" max="7" width="15.7142857142857" style="185" customWidth="1"/>
    <col min="8" max="8" width="15.7142857142857" style="186" customWidth="1"/>
    <col min="9" max="16384" width="9.14285714285714" style="186"/>
  </cols>
  <sheetData>
    <row r="1" s="890" customFormat="1" ht="30" customHeight="1" spans="1:6">
      <c r="A1" s="325" t="s">
        <v>97</v>
      </c>
      <c r="B1" s="326"/>
      <c r="C1" s="326"/>
      <c r="D1" s="327"/>
    </row>
    <row r="2" s="890" customFormat="1" ht="80.25" customHeight="1" spans="1:6">
      <c r="A2" s="906" t="s">
        <v>98</v>
      </c>
      <c r="B2" s="907"/>
      <c r="C2" s="907"/>
      <c r="D2" s="908"/>
    </row>
    <row r="3" s="890" customFormat="1" ht="30" customHeight="1" spans="1:6">
      <c r="A3" s="909" t="s">
        <v>89</v>
      </c>
      <c r="B3" s="910"/>
      <c r="C3" s="910"/>
      <c r="D3" s="911"/>
    </row>
    <row r="4" s="890" customFormat="1" ht="29.25" customHeight="1" spans="1:6">
      <c r="A4" s="235" t="s">
        <v>99</v>
      </c>
      <c r="B4" s="237"/>
      <c r="C4" s="912" t="s">
        <v>100</v>
      </c>
      <c r="D4" s="237"/>
    </row>
    <row r="5" s="890" customFormat="1" spans="1:6">
      <c r="A5" s="713">
        <v>0.267361111111111</v>
      </c>
      <c r="B5" s="913"/>
      <c r="C5" s="714">
        <v>0.291666666666667</v>
      </c>
      <c r="D5" s="715"/>
    </row>
    <row r="6" s="890" customFormat="1" spans="1:6">
      <c r="A6" s="716">
        <v>0.309027777777778</v>
      </c>
      <c r="B6" s="714"/>
      <c r="C6" s="714">
        <v>0.326388888888889</v>
      </c>
      <c r="D6" s="715"/>
    </row>
    <row r="7" s="890" customFormat="1" spans="1:6">
      <c r="A7" s="716">
        <v>0.336805555555556</v>
      </c>
      <c r="B7" s="714"/>
      <c r="C7" s="714">
        <v>0.354166666666667</v>
      </c>
      <c r="D7" s="715"/>
    </row>
    <row r="8" s="890" customFormat="1" spans="1:6">
      <c r="A8" s="716" t="s">
        <v>8</v>
      </c>
      <c r="B8" s="714"/>
      <c r="C8" s="714">
        <v>0.503472222222222</v>
      </c>
      <c r="D8" s="715"/>
    </row>
    <row r="9" s="890" customFormat="1" spans="1:6">
      <c r="A9" s="713">
        <v>0.541666666666667</v>
      </c>
      <c r="B9" s="913"/>
      <c r="C9" s="714">
        <v>0.559027777777778</v>
      </c>
      <c r="D9" s="715"/>
    </row>
    <row r="10" s="890" customFormat="1" spans="1:6">
      <c r="A10" s="716">
        <v>0.569444444444444</v>
      </c>
      <c r="B10" s="714"/>
      <c r="C10" s="714">
        <v>0.586805555555556</v>
      </c>
      <c r="D10" s="715"/>
    </row>
    <row r="11" s="890" customFormat="1" spans="1:6">
      <c r="A11" s="914" t="s">
        <v>8</v>
      </c>
      <c r="B11" s="915"/>
      <c r="C11" s="714">
        <v>0.6875</v>
      </c>
      <c r="D11" s="715"/>
    </row>
    <row r="12" s="890" customFormat="1" spans="1:6">
      <c r="A12" s="716">
        <v>0.697916666666667</v>
      </c>
      <c r="B12" s="714"/>
      <c r="C12" s="714">
        <v>0.715277777777778</v>
      </c>
      <c r="D12" s="715"/>
    </row>
    <row r="13" s="890" customFormat="1" spans="1:6">
      <c r="A13" s="713">
        <v>0.725694444444445</v>
      </c>
      <c r="B13" s="913"/>
      <c r="C13" s="714">
        <v>0.756944444444445</v>
      </c>
      <c r="D13" s="715"/>
      <c r="F13" s="916"/>
    </row>
    <row r="14" s="890" customFormat="1" spans="1:6">
      <c r="A14" s="716">
        <v>0.767361111111111</v>
      </c>
      <c r="B14" s="714"/>
      <c r="C14" s="714">
        <v>0.784722222222222</v>
      </c>
      <c r="D14" s="715"/>
    </row>
    <row r="15" s="890" customFormat="1" ht="16.5" spans="1:6">
      <c r="A15" s="717">
        <v>0.795138888888889</v>
      </c>
      <c r="B15" s="718"/>
      <c r="C15" s="718">
        <v>0.8125</v>
      </c>
      <c r="D15" s="719"/>
    </row>
    <row r="16" s="890" customFormat="1" ht="7" customHeight="1"/>
    <row r="17" s="890" customFormat="1" ht="21" spans="1:8">
      <c r="A17" s="657" t="s">
        <v>15</v>
      </c>
      <c r="B17" s="658"/>
      <c r="C17" s="658"/>
      <c r="D17" s="659"/>
    </row>
    <row r="18" s="890" customFormat="1" ht="9" customHeight="1" spans="1:8">
      <c r="A18" s="698"/>
      <c r="B18" s="698"/>
      <c r="C18" s="698"/>
      <c r="D18" s="698"/>
    </row>
    <row r="19" s="890" customFormat="1" ht="18.75" spans="1:8">
      <c r="A19" s="699" t="s">
        <v>16</v>
      </c>
      <c r="B19" s="700"/>
      <c r="C19" s="700"/>
      <c r="D19" s="701"/>
      <c r="E19" s="724"/>
    </row>
    <row r="20" s="890" customFormat="1" ht="28.5" customHeight="1" spans="1:8">
      <c r="A20" s="900" t="s">
        <v>101</v>
      </c>
      <c r="B20" s="901"/>
      <c r="C20" s="901"/>
      <c r="D20" s="902"/>
      <c r="E20" s="725"/>
    </row>
    <row r="21" s="890" customFormat="1" ht="84" customHeight="1" spans="1:8">
      <c r="A21" s="868" t="s">
        <v>102</v>
      </c>
      <c r="B21" s="869"/>
      <c r="C21" s="869"/>
      <c r="D21" s="870"/>
    </row>
    <row r="22" s="890" customFormat="1" ht="5.1" customHeight="1"/>
    <row r="23" s="905" customFormat="1" ht="20.25" spans="1:8">
      <c r="A23" s="917" t="s">
        <v>20</v>
      </c>
      <c r="B23" s="918"/>
      <c r="C23" s="918"/>
      <c r="D23" s="919"/>
    </row>
    <row r="24" s="905" customFormat="1" ht="23.25" customHeight="1" spans="1:8">
      <c r="A24" s="920" t="s">
        <v>103</v>
      </c>
      <c r="B24" s="921"/>
      <c r="C24" s="921"/>
      <c r="D24" s="922"/>
    </row>
    <row r="25" s="182" customFormat="1" ht="18" spans="1:8">
      <c r="C25" s="212"/>
      <c r="D25" s="213"/>
      <c r="E25" s="212"/>
      <c r="F25" s="212"/>
      <c r="G25" s="213"/>
      <c r="H25" s="212"/>
    </row>
    <row r="26" s="184" customFormat="1" ht="17.25" spans="1:8">
      <c r="A26" s="258"/>
      <c r="B26" s="259"/>
      <c r="C26" s="259"/>
      <c r="D26" s="259"/>
      <c r="E26" s="259"/>
    </row>
    <row r="27" s="186" customFormat="1" spans="1:8">
      <c r="A27" s="260"/>
      <c r="B27" s="260"/>
      <c r="C27" s="261"/>
      <c r="D27" s="262"/>
      <c r="E27" s="262"/>
    </row>
    <row r="28" s="186" customFormat="1" ht="18" customHeight="1" spans="1:8">
      <c r="A28" s="264"/>
      <c r="B28" s="301"/>
      <c r="C28" s="427"/>
      <c r="D28" s="303"/>
      <c r="E28" s="619"/>
      <c r="G28" s="263"/>
    </row>
    <row r="29" s="186" customFormat="1" ht="18" customHeight="1" spans="1:8">
      <c r="A29" s="264"/>
      <c r="B29" s="301"/>
      <c r="C29" s="427"/>
      <c r="D29" s="303"/>
      <c r="E29" s="619"/>
      <c r="G29" s="329"/>
    </row>
    <row r="30" s="186" customFormat="1" ht="36.75" customHeight="1" spans="1:8">
      <c r="A30" s="264"/>
      <c r="B30" s="301"/>
      <c r="C30" s="427"/>
      <c r="D30" s="303"/>
      <c r="E30" s="619"/>
      <c r="G30" s="678"/>
    </row>
    <row r="31" s="186" customFormat="1" ht="53.1" customHeight="1" spans="1:8">
      <c r="A31" s="264"/>
      <c r="B31" s="301"/>
      <c r="C31" s="427"/>
      <c r="D31" s="303"/>
      <c r="E31" s="619"/>
      <c r="G31" s="678"/>
    </row>
    <row r="32" s="186" customFormat="1" ht="18" customHeight="1" spans="1:8">
      <c r="A32" s="683"/>
      <c r="B32" s="705"/>
      <c r="C32" s="427"/>
      <c r="D32" s="303"/>
      <c r="E32" s="619"/>
    </row>
    <row r="33" s="186" customFormat="1" ht="18" customHeight="1" spans="1:7">
      <c r="A33" s="683"/>
      <c r="B33" s="705"/>
      <c r="C33" s="427"/>
      <c r="D33" s="303"/>
      <c r="E33" s="619"/>
    </row>
    <row r="34" s="186" customFormat="1" ht="18" customHeight="1" spans="1:7">
      <c r="A34" s="683"/>
      <c r="B34" s="684"/>
      <c r="C34" s="347"/>
      <c r="D34" s="348"/>
      <c r="E34" s="349"/>
    </row>
    <row r="35" s="186" customFormat="1" spans="1:7">
      <c r="A35" s="269"/>
      <c r="B35" s="270"/>
      <c r="C35" s="271"/>
      <c r="D35" s="272"/>
      <c r="E35" s="272"/>
    </row>
    <row r="36" s="186" customFormat="1" spans="1:7">
      <c r="A36" s="730"/>
      <c r="B36" s="600"/>
      <c r="C36" s="600"/>
      <c r="D36" s="600"/>
      <c r="E36" s="600"/>
      <c r="G36" s="185"/>
    </row>
    <row r="37" s="186" customFormat="1" spans="1:7">
      <c r="A37" s="731"/>
      <c r="B37" s="731"/>
      <c r="C37" s="731"/>
      <c r="D37" s="731"/>
      <c r="E37" s="731"/>
      <c r="G37" s="185"/>
    </row>
    <row r="38" s="186" customFormat="1" ht="17.25" spans="1:7">
      <c r="A38" s="280"/>
      <c r="B38" s="280"/>
      <c r="C38" s="281"/>
      <c r="D38" s="282"/>
      <c r="E38" s="408"/>
      <c r="G38" s="185"/>
    </row>
    <row r="39" s="186" customFormat="1" ht="17.25" spans="1:7">
      <c r="A39" s="280"/>
      <c r="B39" s="280"/>
      <c r="C39" s="281"/>
      <c r="D39" s="282"/>
      <c r="E39" s="408"/>
      <c r="G39" s="185"/>
    </row>
  </sheetData>
  <mergeCells count="41">
    <mergeCell ref="A1:D1"/>
    <mergeCell ref="A2:D2"/>
    <mergeCell ref="A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A15:B15"/>
    <mergeCell ref="C15:D15"/>
    <mergeCell ref="A17:D17"/>
    <mergeCell ref="A18:D18"/>
    <mergeCell ref="A19:D19"/>
    <mergeCell ref="A20:D20"/>
    <mergeCell ref="A21:D21"/>
    <mergeCell ref="A23:D23"/>
    <mergeCell ref="A24:D24"/>
    <mergeCell ref="A26:E26"/>
    <mergeCell ref="A36:E36"/>
    <mergeCell ref="A37:B37"/>
    <mergeCell ref="A38:B38"/>
    <mergeCell ref="A39:B39"/>
    <mergeCell ref="A28:A31"/>
    <mergeCell ref="A32:A34"/>
  </mergeCells>
  <pageMargins left="1.18110236220472" right="0.748031496062992" top="0.196850393700787" bottom="0.196850393700787" header="0.511811023622047" footer="0.511811023622047"/>
  <pageSetup paperSize="9" scale="44" orientation="portrait"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61"/>
  <sheetViews>
    <sheetView showGridLines="0" topLeftCell="A49" workbookViewId="0">
      <selection activeCell="A44" sqref="A44:E44"/>
    </sheetView>
  </sheetViews>
  <sheetFormatPr defaultColWidth="9.14285714285714" defaultRowHeight="15.75"/>
  <cols>
    <col min="1" max="1" width="30.7142857142857" style="186" customWidth="1"/>
    <col min="2" max="2" width="32.2857142857143" style="186" customWidth="1"/>
    <col min="3" max="3" width="30.7142857142857" style="186" customWidth="1"/>
    <col min="4" max="4" width="30.7142857142857" style="185" customWidth="1"/>
    <col min="5" max="5" width="30.7142857142857" style="186" customWidth="1"/>
    <col min="6" max="6" width="17.7142857142857" style="186" customWidth="1"/>
    <col min="7" max="7" width="15.7142857142857" style="185" customWidth="1"/>
    <col min="8" max="8" width="13.7142857142857" style="186" customWidth="1"/>
    <col min="9" max="9" width="15.7142857142857" style="186" customWidth="1"/>
    <col min="10" max="16384" width="9.14285714285714" style="186"/>
  </cols>
  <sheetData>
    <row r="1" s="324" customFormat="1" ht="36" customHeight="1" spans="1:4">
      <c r="A1" s="881" t="s">
        <v>104</v>
      </c>
      <c r="B1" s="882"/>
      <c r="C1" s="882"/>
      <c r="D1" s="883"/>
    </row>
    <row r="2" s="324" customFormat="1" ht="60" customHeight="1" spans="1:4">
      <c r="A2" s="690" t="s">
        <v>105</v>
      </c>
      <c r="B2" s="691"/>
      <c r="C2" s="691"/>
      <c r="D2" s="692"/>
    </row>
    <row r="3" s="324" customFormat="1" ht="21" spans="1:4">
      <c r="A3" s="192" t="s">
        <v>27</v>
      </c>
      <c r="B3" s="491"/>
      <c r="C3" s="491"/>
      <c r="D3" s="194"/>
    </row>
    <row r="4" s="324" customFormat="1" ht="41.85" customHeight="1" spans="1:4">
      <c r="A4" s="201" t="s">
        <v>106</v>
      </c>
      <c r="B4" s="201" t="s">
        <v>107</v>
      </c>
      <c r="C4" s="201" t="s">
        <v>47</v>
      </c>
      <c r="D4" s="201" t="s">
        <v>107</v>
      </c>
    </row>
    <row r="5" s="324" customFormat="1" spans="1:4">
      <c r="A5" s="288">
        <v>0.253472222222222</v>
      </c>
      <c r="B5" s="289">
        <v>0.267361111111111</v>
      </c>
      <c r="C5" s="289">
        <v>0.270833333333333</v>
      </c>
      <c r="D5" s="290">
        <v>0.274305555555556</v>
      </c>
    </row>
    <row r="6" s="324" customFormat="1" spans="1:4">
      <c r="A6" s="453">
        <v>0.28125</v>
      </c>
      <c r="B6" s="291">
        <v>0.295138888888889</v>
      </c>
      <c r="C6" s="291">
        <v>0.298611111111111</v>
      </c>
      <c r="D6" s="536">
        <v>0.302083333333333</v>
      </c>
    </row>
    <row r="7" s="324" customFormat="1" spans="1:4">
      <c r="A7" s="713">
        <v>0.309027777777778</v>
      </c>
      <c r="B7" s="291">
        <v>0.326388888888889</v>
      </c>
      <c r="C7" s="291">
        <v>0.329861111111111</v>
      </c>
      <c r="D7" s="536">
        <v>0.333333333333333</v>
      </c>
    </row>
    <row r="8" s="324" customFormat="1" spans="1:4">
      <c r="A8" s="453">
        <v>0.340277777777778</v>
      </c>
      <c r="B8" s="291">
        <v>0.354166666666667</v>
      </c>
      <c r="C8" s="291">
        <v>0.357638888888889</v>
      </c>
      <c r="D8" s="536">
        <v>0.361111111111111</v>
      </c>
    </row>
    <row r="9" s="324" customFormat="1" spans="1:4">
      <c r="A9" s="453">
        <v>0.368055555555556</v>
      </c>
      <c r="B9" s="291">
        <v>0.381944444444444</v>
      </c>
      <c r="C9" s="291">
        <v>0.385416666666667</v>
      </c>
      <c r="D9" s="536" t="s">
        <v>8</v>
      </c>
    </row>
    <row r="10" s="324" customFormat="1" spans="1:4">
      <c r="A10" s="453" t="s">
        <v>8</v>
      </c>
      <c r="B10" s="291" t="s">
        <v>8</v>
      </c>
      <c r="C10" s="291">
        <v>0.46875</v>
      </c>
      <c r="D10" s="536">
        <v>0.472222222222222</v>
      </c>
    </row>
    <row r="11" s="324" customFormat="1" spans="1:4">
      <c r="A11" s="453">
        <v>0.479166666666667</v>
      </c>
      <c r="B11" s="291">
        <v>0.493055555555556</v>
      </c>
      <c r="C11" s="291">
        <v>0.496527777777778</v>
      </c>
      <c r="D11" s="536">
        <v>0.503472222222222</v>
      </c>
    </row>
    <row r="12" s="324" customFormat="1" spans="1:4">
      <c r="A12" s="453">
        <v>0.510416666666667</v>
      </c>
      <c r="B12" s="291">
        <v>0.520833333333333</v>
      </c>
      <c r="C12" s="291">
        <v>0.524305555555556</v>
      </c>
      <c r="D12" s="536">
        <v>0.527777777777778</v>
      </c>
    </row>
    <row r="13" s="324" customFormat="1" spans="1:4">
      <c r="A13" s="453">
        <v>0.538194444444444</v>
      </c>
      <c r="B13" s="291">
        <v>0.552083333333333</v>
      </c>
      <c r="C13" s="291">
        <v>0.555555555555556</v>
      </c>
      <c r="D13" s="536">
        <v>0.559027777777778</v>
      </c>
    </row>
    <row r="14" s="324" customFormat="1" spans="1:4">
      <c r="A14" s="453">
        <v>0.565972222222222</v>
      </c>
      <c r="B14" s="291">
        <v>0.579861111111111</v>
      </c>
      <c r="C14" s="291">
        <v>0.583333333333333</v>
      </c>
      <c r="D14" s="536" t="s">
        <v>8</v>
      </c>
    </row>
    <row r="15" s="324" customFormat="1" spans="1:4">
      <c r="A15" s="453" t="s">
        <v>8</v>
      </c>
      <c r="B15" s="291" t="s">
        <v>8</v>
      </c>
      <c r="C15" s="291">
        <v>0.663194444444444</v>
      </c>
      <c r="D15" s="536">
        <v>0.666666666666667</v>
      </c>
    </row>
    <row r="16" s="324" customFormat="1" spans="1:4">
      <c r="A16" s="453">
        <v>0.673611111111111</v>
      </c>
      <c r="B16" s="291">
        <v>0.6875</v>
      </c>
      <c r="C16" s="291">
        <v>0.690972222222222</v>
      </c>
      <c r="D16" s="536">
        <v>0.694444444444444</v>
      </c>
    </row>
    <row r="17" s="324" customFormat="1" spans="1:7">
      <c r="A17" s="453">
        <v>0.701388888888889</v>
      </c>
      <c r="B17" s="291">
        <v>0.715277777777778</v>
      </c>
      <c r="C17" s="291">
        <v>0.71875</v>
      </c>
      <c r="D17" s="536">
        <v>0.722222222222222</v>
      </c>
    </row>
    <row r="18" s="324" customFormat="1" spans="1:7">
      <c r="A18" s="713">
        <v>0.729166666666667</v>
      </c>
      <c r="B18" s="291">
        <v>0.743055555555556</v>
      </c>
      <c r="C18" s="291">
        <v>0.746527777777778</v>
      </c>
      <c r="D18" s="536">
        <v>0.753472222222222</v>
      </c>
      <c r="E18" s="884"/>
      <c r="F18" s="884"/>
      <c r="G18" s="884"/>
    </row>
    <row r="19" s="324" customFormat="1" spans="1:7">
      <c r="A19" s="885" t="s">
        <v>8</v>
      </c>
      <c r="B19" s="885" t="s">
        <v>8</v>
      </c>
      <c r="C19" s="885">
        <v>0.753472222222222</v>
      </c>
      <c r="D19" s="886">
        <v>0.756944444444444</v>
      </c>
      <c r="E19" s="887" t="s">
        <v>108</v>
      </c>
      <c r="F19" s="887"/>
      <c r="G19" s="884"/>
    </row>
    <row r="20" s="324" customFormat="1" spans="1:7">
      <c r="A20" s="888">
        <v>0.763888888888889</v>
      </c>
      <c r="B20" s="885">
        <v>0.777777777777778</v>
      </c>
      <c r="C20" s="885">
        <v>0.78125</v>
      </c>
      <c r="D20" s="886" t="s">
        <v>8</v>
      </c>
      <c r="E20" s="884"/>
      <c r="F20" s="884"/>
      <c r="G20" s="884"/>
    </row>
    <row r="21" s="324" customFormat="1" spans="1:7">
      <c r="A21" s="419">
        <v>0.760416666666667</v>
      </c>
      <c r="B21" s="420">
        <v>0.774305555555555</v>
      </c>
      <c r="C21" s="420">
        <v>0.777777777777778</v>
      </c>
      <c r="D21" s="421">
        <v>0.78125</v>
      </c>
      <c r="E21" s="884"/>
      <c r="F21" s="884"/>
      <c r="G21" s="884"/>
    </row>
    <row r="22" s="324" customFormat="1" spans="1:7">
      <c r="A22" s="419">
        <v>0.788194444444445</v>
      </c>
      <c r="B22" s="420">
        <v>0.802083333333333</v>
      </c>
      <c r="C22" s="420">
        <v>0.805555555555555</v>
      </c>
      <c r="D22" s="421">
        <v>0.809027777777778</v>
      </c>
    </row>
    <row r="23" s="324" customFormat="1" spans="1:7">
      <c r="A23" s="419">
        <v>0.815972222222222</v>
      </c>
      <c r="B23" s="420">
        <v>0.829861111111111</v>
      </c>
      <c r="C23" s="420">
        <v>0.833333333333333</v>
      </c>
      <c r="D23" s="421">
        <v>0.836805555555555</v>
      </c>
    </row>
    <row r="24" s="324" customFormat="1" spans="1:7">
      <c r="A24" s="419">
        <v>0.84375</v>
      </c>
      <c r="B24" s="420">
        <v>0.857638888888889</v>
      </c>
      <c r="C24" s="420">
        <v>0.861111111111111</v>
      </c>
      <c r="D24" s="421">
        <v>0.864583333333333</v>
      </c>
    </row>
    <row r="25" s="324" customFormat="1" spans="1:7">
      <c r="A25" s="419">
        <v>0.871527777777778</v>
      </c>
      <c r="B25" s="889">
        <v>0.885416666666667</v>
      </c>
      <c r="C25" s="420">
        <v>0.888888888888889</v>
      </c>
      <c r="D25" s="421">
        <v>0.892361111111111</v>
      </c>
      <c r="E25" s="890"/>
      <c r="F25" s="890"/>
      <c r="G25" s="890"/>
    </row>
    <row r="26" s="324" customFormat="1" spans="1:7">
      <c r="A26" s="419">
        <v>0.899305555555555</v>
      </c>
      <c r="B26" s="420">
        <v>0.913194444444445</v>
      </c>
      <c r="C26" s="420">
        <v>0.916666666666667</v>
      </c>
      <c r="D26" s="421">
        <v>0.920138888888889</v>
      </c>
    </row>
    <row r="27" s="324" customFormat="1" spans="1:7">
      <c r="A27" s="419">
        <v>0.927083333333333</v>
      </c>
      <c r="B27" s="420">
        <v>0.940972222222222</v>
      </c>
      <c r="C27" s="891">
        <v>0.944444444444445</v>
      </c>
      <c r="D27" s="421">
        <v>0.947916666666667</v>
      </c>
    </row>
    <row r="28" s="324" customFormat="1" spans="1:7">
      <c r="A28" s="892">
        <v>0.954861111111111</v>
      </c>
      <c r="B28" s="420">
        <v>0.975694444444445</v>
      </c>
      <c r="C28" s="891">
        <v>0.979166666666667</v>
      </c>
      <c r="D28" s="421">
        <v>0.982638888888889</v>
      </c>
    </row>
    <row r="29" s="324" customFormat="1" spans="1:7">
      <c r="A29" s="893">
        <v>0.989583333333333</v>
      </c>
      <c r="B29" s="894">
        <v>0.00694444444444444</v>
      </c>
      <c r="C29" s="894"/>
      <c r="D29" s="895"/>
    </row>
    <row r="30" s="706" customFormat="1" ht="5.1" customHeight="1" spans="1:7">
      <c r="A30" s="191"/>
      <c r="B30" s="191"/>
      <c r="C30" s="191"/>
      <c r="D30" s="191"/>
    </row>
    <row r="31" s="324" customFormat="1" ht="21" spans="1:7">
      <c r="A31" s="657" t="s">
        <v>15</v>
      </c>
      <c r="B31" s="658"/>
      <c r="C31" s="658"/>
      <c r="D31" s="659"/>
    </row>
    <row r="32" s="324" customFormat="1" ht="6.2" customHeight="1" spans="1:7">
      <c r="A32" s="658"/>
      <c r="B32" s="658"/>
      <c r="C32" s="658"/>
      <c r="D32" s="658"/>
    </row>
    <row r="33" s="324" customFormat="1" ht="23.25" customHeight="1" spans="1:9">
      <c r="A33" s="699" t="s">
        <v>109</v>
      </c>
      <c r="B33" s="700"/>
      <c r="C33" s="700"/>
      <c r="D33" s="701"/>
    </row>
    <row r="34" s="324" customFormat="1" ht="57" customHeight="1" spans="1:9">
      <c r="A34" s="896" t="s">
        <v>110</v>
      </c>
      <c r="B34" s="897"/>
      <c r="C34" s="897"/>
      <c r="D34" s="898"/>
    </row>
    <row r="35" s="324" customFormat="1" ht="66" customHeight="1" spans="1:9">
      <c r="A35" s="864" t="s">
        <v>111</v>
      </c>
      <c r="B35" s="865"/>
      <c r="C35" s="865"/>
      <c r="D35" s="866"/>
    </row>
    <row r="36" s="324" customFormat="1" ht="56.1" customHeight="1" spans="1:9">
      <c r="A36" s="666" t="s">
        <v>112</v>
      </c>
      <c r="B36" s="667"/>
      <c r="C36" s="667"/>
      <c r="D36" s="668"/>
    </row>
    <row r="37" s="324" customFormat="1" ht="56.1" customHeight="1" spans="1:9">
      <c r="A37" s="666" t="s">
        <v>113</v>
      </c>
      <c r="B37" s="667"/>
      <c r="C37" s="667"/>
      <c r="D37" s="668"/>
    </row>
    <row r="38" s="324" customFormat="1" ht="118.5" customHeight="1" spans="1:9">
      <c r="A38" s="666" t="s">
        <v>114</v>
      </c>
      <c r="B38" s="667"/>
      <c r="C38" s="667"/>
      <c r="D38" s="668"/>
    </row>
    <row r="39" s="324" customFormat="1" ht="6" customHeight="1"/>
    <row r="40" s="324" customFormat="1" ht="21" spans="1:9">
      <c r="A40" s="727" t="s">
        <v>20</v>
      </c>
      <c r="B40" s="728"/>
      <c r="C40" s="728"/>
      <c r="D40" s="729"/>
    </row>
    <row r="41" s="324" customFormat="1" customHeight="1" spans="1:9">
      <c r="A41" s="896" t="s">
        <v>115</v>
      </c>
      <c r="B41" s="897"/>
      <c r="C41" s="897"/>
      <c r="D41" s="898"/>
      <c r="E41" s="899" t="s">
        <v>116</v>
      </c>
    </row>
    <row r="42" s="324" customFormat="1" ht="16.5" customHeight="1" spans="1:9">
      <c r="A42" s="900" t="s">
        <v>117</v>
      </c>
      <c r="B42" s="901"/>
      <c r="C42" s="901"/>
      <c r="D42" s="902"/>
    </row>
    <row r="43" s="182" customFormat="1" ht="4.5" customHeight="1" spans="1:9">
      <c r="C43" s="212"/>
      <c r="D43" s="213"/>
      <c r="E43" s="212"/>
      <c r="F43" s="212"/>
      <c r="G43" s="213"/>
      <c r="H43" s="212"/>
      <c r="I43" s="212"/>
    </row>
    <row r="44" s="184" customFormat="1" ht="24.95" customHeight="1" spans="1:9">
      <c r="A44" s="258"/>
      <c r="B44" s="259"/>
      <c r="C44" s="259"/>
      <c r="D44" s="259"/>
      <c r="E44" s="259"/>
    </row>
    <row r="45" spans="1:9">
      <c r="A45" s="260"/>
      <c r="B45" s="260"/>
      <c r="C45" s="261"/>
      <c r="D45" s="262"/>
      <c r="E45" s="262"/>
      <c r="G45" s="186"/>
    </row>
    <row r="46" ht="30" customHeight="1" spans="1:9">
      <c r="A46" s="264"/>
      <c r="B46" s="265"/>
      <c r="C46" s="266"/>
      <c r="D46" s="267"/>
      <c r="E46" s="268"/>
      <c r="G46" s="263"/>
    </row>
    <row r="47" ht="30" customHeight="1" spans="1:9">
      <c r="A47" s="264"/>
      <c r="B47" s="265"/>
      <c r="C47" s="266"/>
      <c r="D47" s="267"/>
      <c r="E47" s="268"/>
      <c r="G47" s="329"/>
    </row>
    <row r="48" ht="45" customHeight="1" spans="1:9">
      <c r="A48" s="264"/>
      <c r="B48" s="265"/>
      <c r="C48" s="266"/>
      <c r="D48" s="303"/>
      <c r="E48" s="268"/>
      <c r="G48" s="678"/>
    </row>
    <row r="49" ht="48" customHeight="1" spans="1:7">
      <c r="A49" s="264"/>
      <c r="B49" s="265"/>
      <c r="C49" s="266"/>
      <c r="D49" s="267"/>
      <c r="E49" s="268"/>
      <c r="G49" s="903"/>
    </row>
    <row r="50" ht="45.95" customHeight="1" spans="1:7">
      <c r="A50" s="264"/>
      <c r="B50" s="265"/>
      <c r="C50" s="266"/>
      <c r="D50" s="267"/>
      <c r="E50" s="268"/>
      <c r="G50" s="329"/>
    </row>
    <row r="51" ht="30" customHeight="1" spans="1:7">
      <c r="A51" s="264"/>
      <c r="B51" s="265"/>
      <c r="C51" s="266"/>
      <c r="D51" s="267"/>
      <c r="E51" s="268"/>
      <c r="F51" s="287"/>
      <c r="G51" s="329"/>
    </row>
    <row r="52" ht="30" customHeight="1" spans="1:7">
      <c r="A52" s="264"/>
      <c r="B52" s="265"/>
      <c r="C52" s="266"/>
      <c r="D52" s="267"/>
      <c r="E52" s="268"/>
      <c r="G52" s="329"/>
    </row>
    <row r="53" ht="45" customHeight="1" spans="1:7">
      <c r="A53" s="264"/>
      <c r="B53" s="265"/>
      <c r="C53" s="266"/>
      <c r="D53" s="267"/>
      <c r="E53" s="268"/>
      <c r="G53" s="186"/>
    </row>
    <row r="54" ht="30" customHeight="1" spans="1:7">
      <c r="A54" s="683"/>
      <c r="B54" s="684"/>
      <c r="C54" s="266"/>
      <c r="D54" s="267"/>
      <c r="E54" s="268"/>
      <c r="G54" s="266"/>
    </row>
    <row r="55" ht="30" customHeight="1" spans="1:7">
      <c r="A55" s="683"/>
      <c r="B55" s="904"/>
      <c r="C55" s="266"/>
      <c r="D55" s="267"/>
      <c r="E55" s="268"/>
      <c r="G55" s="186"/>
    </row>
    <row r="56" ht="30" customHeight="1" spans="1:7">
      <c r="A56" s="683"/>
      <c r="B56" s="684"/>
      <c r="C56" s="266"/>
      <c r="D56" s="267"/>
      <c r="E56" s="268"/>
      <c r="G56" s="186"/>
    </row>
    <row r="57" ht="7.5" customHeight="1" spans="1:7">
      <c r="A57" s="269"/>
      <c r="B57" s="270"/>
      <c r="C57" s="271"/>
      <c r="D57" s="272"/>
      <c r="E57" s="272"/>
      <c r="G57" s="186"/>
    </row>
    <row r="58" ht="24.95" customHeight="1" spans="1:7">
      <c r="A58" s="730"/>
      <c r="B58" s="600"/>
      <c r="C58" s="600"/>
      <c r="D58" s="600"/>
      <c r="E58" s="600"/>
    </row>
    <row r="59" ht="24.95" customHeight="1" spans="1:7">
      <c r="A59" s="731"/>
      <c r="B59" s="731"/>
      <c r="C59" s="731"/>
      <c r="D59" s="731"/>
      <c r="E59" s="731"/>
    </row>
    <row r="60" ht="20.1" customHeight="1" spans="1:7">
      <c r="A60" s="280"/>
      <c r="B60" s="280"/>
      <c r="C60" s="281"/>
      <c r="D60" s="282"/>
      <c r="E60" s="408"/>
    </row>
    <row r="61" ht="20.1" customHeight="1" spans="1:7">
      <c r="A61" s="280"/>
      <c r="B61" s="280"/>
      <c r="C61" s="281"/>
      <c r="D61" s="282"/>
      <c r="E61" s="408"/>
    </row>
  </sheetData>
  <mergeCells count="22">
    <mergeCell ref="A1:D1"/>
    <mergeCell ref="A2:D2"/>
    <mergeCell ref="A3:D3"/>
    <mergeCell ref="E19:F19"/>
    <mergeCell ref="A31:D31"/>
    <mergeCell ref="A32:D32"/>
    <mergeCell ref="A33:D33"/>
    <mergeCell ref="A34:D34"/>
    <mergeCell ref="A35:D35"/>
    <mergeCell ref="A36:D36"/>
    <mergeCell ref="A37:D37"/>
    <mergeCell ref="A38:D38"/>
    <mergeCell ref="A40:D40"/>
    <mergeCell ref="A41:D41"/>
    <mergeCell ref="A42:D42"/>
    <mergeCell ref="A44:E44"/>
    <mergeCell ref="A58:E58"/>
    <mergeCell ref="A59:B59"/>
    <mergeCell ref="A60:B60"/>
    <mergeCell ref="A61:B61"/>
    <mergeCell ref="A46:A53"/>
    <mergeCell ref="A54:A56"/>
  </mergeCells>
  <pageMargins left="1.18110236220472" right="0.748031496062992" top="0.196850393700787" bottom="0.196850393700787" header="0.511811023622047" footer="0.511811023622047"/>
  <pageSetup paperSize="9" scale="73" orientation="portrait"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96"/>
  <sheetViews>
    <sheetView showGridLines="0" topLeftCell="A65" workbookViewId="0">
      <selection activeCell="H78" sqref="A71:H78"/>
    </sheetView>
  </sheetViews>
  <sheetFormatPr defaultColWidth="9.14285714285714" defaultRowHeight="15.75"/>
  <cols>
    <col min="1" max="3" width="26" style="186" customWidth="1"/>
    <col min="4" max="4" width="26" style="185" customWidth="1"/>
    <col min="5" max="5" width="26" style="186" customWidth="1"/>
    <col min="6" max="6" width="17.7142857142857" style="186" customWidth="1"/>
    <col min="7" max="7" width="15.7142857142857" style="185" customWidth="1"/>
    <col min="8" max="8" width="13.7142857142857" style="186" customWidth="1"/>
    <col min="9" max="9" width="15.7142857142857" style="186" customWidth="1"/>
    <col min="10" max="16384" width="9.14285714285714" style="186"/>
  </cols>
  <sheetData>
    <row r="1" s="733" customFormat="1" ht="30" customHeight="1" spans="1:5">
      <c r="A1" s="188" t="s">
        <v>118</v>
      </c>
      <c r="B1" s="189"/>
      <c r="C1" s="189"/>
      <c r="D1" s="189"/>
      <c r="E1" s="190"/>
    </row>
    <row r="2" s="733" customFormat="1" ht="116" customHeight="1" spans="1:5">
      <c r="A2" s="402" t="s">
        <v>119</v>
      </c>
      <c r="B2" s="403"/>
      <c r="C2" s="403"/>
      <c r="D2" s="403"/>
      <c r="E2" s="404"/>
    </row>
    <row r="3" s="733" customFormat="1" ht="31.35" customHeight="1" spans="1:5">
      <c r="A3" s="438" t="s">
        <v>75</v>
      </c>
      <c r="B3" s="193"/>
      <c r="C3" s="193"/>
      <c r="D3" s="193"/>
      <c r="E3" s="490"/>
    </row>
    <row r="4" s="733" customFormat="1" ht="48" spans="1:5">
      <c r="A4" s="218" t="s">
        <v>120</v>
      </c>
      <c r="B4" s="218" t="s">
        <v>121</v>
      </c>
      <c r="C4" s="218" t="s">
        <v>122</v>
      </c>
      <c r="D4" s="218" t="s">
        <v>123</v>
      </c>
      <c r="E4" s="218" t="s">
        <v>124</v>
      </c>
    </row>
    <row r="5" s="733" customFormat="1" spans="1:5">
      <c r="A5" s="827">
        <v>0.236111111111111</v>
      </c>
      <c r="B5" s="828">
        <v>0.243055555555556</v>
      </c>
      <c r="C5" s="556">
        <v>0.243055555555556</v>
      </c>
      <c r="D5" s="556">
        <v>0.255555555555556</v>
      </c>
      <c r="E5" s="558">
        <v>0.256944444444444</v>
      </c>
    </row>
    <row r="6" s="733" customFormat="1" spans="1:5">
      <c r="A6" s="829">
        <v>0.270833333333333</v>
      </c>
      <c r="B6" s="830" t="s">
        <v>8</v>
      </c>
      <c r="C6" s="454">
        <v>0.28125</v>
      </c>
      <c r="D6" s="454">
        <v>0.290277777777778</v>
      </c>
      <c r="E6" s="455">
        <v>0.291666666666667</v>
      </c>
    </row>
    <row r="7" s="733" customFormat="1" spans="1:5">
      <c r="A7" s="831">
        <v>0.291666666666667</v>
      </c>
      <c r="B7" s="832" t="s">
        <v>8</v>
      </c>
      <c r="C7" s="833">
        <v>0.302083333333333</v>
      </c>
      <c r="D7" s="833">
        <v>0.311111111111111</v>
      </c>
      <c r="E7" s="834">
        <v>0.3125</v>
      </c>
    </row>
    <row r="8" s="733" customFormat="1" spans="1:5">
      <c r="A8" s="829">
        <v>0.3125</v>
      </c>
      <c r="B8" s="830" t="s">
        <v>8</v>
      </c>
      <c r="C8" s="454">
        <v>0.322916666666667</v>
      </c>
      <c r="D8" s="454">
        <v>0.331944444444444</v>
      </c>
      <c r="E8" s="455">
        <v>0.333333333333333</v>
      </c>
    </row>
    <row r="9" s="733" customFormat="1" spans="1:5">
      <c r="A9" s="831">
        <v>0.333333333333333</v>
      </c>
      <c r="B9" s="832" t="s">
        <v>8</v>
      </c>
      <c r="C9" s="833">
        <v>0.34375</v>
      </c>
      <c r="D9" s="833">
        <v>0.352777777777778</v>
      </c>
      <c r="E9" s="834">
        <v>0.354166666666667</v>
      </c>
    </row>
    <row r="10" s="733" customFormat="1" spans="1:5">
      <c r="A10" s="829">
        <v>0.354166666666667</v>
      </c>
      <c r="B10" s="830" t="s">
        <v>8</v>
      </c>
      <c r="C10" s="454">
        <v>0.364583333333333</v>
      </c>
      <c r="D10" s="454">
        <v>0.373611111111111</v>
      </c>
      <c r="E10" s="455">
        <v>0.375</v>
      </c>
    </row>
    <row r="11" s="733" customFormat="1" spans="1:5">
      <c r="A11" s="829">
        <v>0.395833333333333</v>
      </c>
      <c r="B11" s="830" t="s">
        <v>8</v>
      </c>
      <c r="C11" s="454">
        <v>0.40625</v>
      </c>
      <c r="D11" s="454">
        <v>0.415277777777778</v>
      </c>
      <c r="E11" s="455">
        <v>0.416666666666667</v>
      </c>
    </row>
    <row r="12" s="181" customFormat="1" spans="1:5">
      <c r="A12" s="829">
        <v>0.4375</v>
      </c>
      <c r="B12" s="830" t="s">
        <v>8</v>
      </c>
      <c r="C12" s="454">
        <v>0.447916666666667</v>
      </c>
      <c r="D12" s="454">
        <v>0.456944444444444</v>
      </c>
      <c r="E12" s="455">
        <v>0.458333333333333</v>
      </c>
    </row>
    <row r="13" s="181" customFormat="1" spans="1:5">
      <c r="A13" s="831" t="s">
        <v>8</v>
      </c>
      <c r="B13" s="832" t="s">
        <v>8</v>
      </c>
      <c r="C13" s="833" t="s">
        <v>8</v>
      </c>
      <c r="D13" s="833" t="s">
        <v>8</v>
      </c>
      <c r="E13" s="834">
        <v>0.479166666666667</v>
      </c>
    </row>
    <row r="14" s="181" customFormat="1" spans="1:5">
      <c r="A14" s="829">
        <v>0.479166666666667</v>
      </c>
      <c r="B14" s="830" t="s">
        <v>8</v>
      </c>
      <c r="C14" s="454">
        <v>0.489583333333333</v>
      </c>
      <c r="D14" s="454">
        <v>0.498611111111111</v>
      </c>
      <c r="E14" s="454">
        <v>0.503472222222222</v>
      </c>
    </row>
    <row r="15" s="181" customFormat="1" spans="1:5">
      <c r="A15" s="831">
        <v>0.5</v>
      </c>
      <c r="B15" s="832" t="s">
        <v>8</v>
      </c>
      <c r="C15" s="833">
        <v>0.510416666666667</v>
      </c>
      <c r="D15" s="833">
        <v>0.519444444444444</v>
      </c>
      <c r="E15" s="834">
        <v>0.520833333333333</v>
      </c>
    </row>
    <row r="16" s="181" customFormat="1" spans="1:5">
      <c r="A16" s="835">
        <v>0.53125</v>
      </c>
      <c r="B16" s="836">
        <v>0.538194444444444</v>
      </c>
      <c r="C16" s="454" t="s">
        <v>8</v>
      </c>
      <c r="D16" s="454">
        <v>0.55</v>
      </c>
      <c r="E16" s="455">
        <v>0.552083333333333</v>
      </c>
    </row>
    <row r="17" s="181" customFormat="1" spans="1:8">
      <c r="A17" s="834">
        <v>0.541666666666667</v>
      </c>
      <c r="B17" s="837" t="s">
        <v>8</v>
      </c>
      <c r="C17" s="833">
        <v>0.552083333333333</v>
      </c>
      <c r="D17" s="833">
        <v>0.561111111111111</v>
      </c>
      <c r="E17" s="834">
        <v>0.5625</v>
      </c>
    </row>
    <row r="18" s="181" customFormat="1" spans="1:8">
      <c r="A18" s="838">
        <v>0.572916666666667</v>
      </c>
      <c r="B18" s="836" t="s">
        <v>8</v>
      </c>
      <c r="C18" s="454">
        <v>0.583333333333333</v>
      </c>
      <c r="D18" s="454">
        <v>0.591666666666667</v>
      </c>
      <c r="E18" s="455">
        <v>0.59375</v>
      </c>
    </row>
    <row r="19" s="181" customFormat="1" spans="1:8">
      <c r="A19" s="833">
        <v>0.583333333333333</v>
      </c>
      <c r="B19" s="832" t="s">
        <v>8</v>
      </c>
      <c r="C19" s="833">
        <v>0.59375</v>
      </c>
      <c r="D19" s="833">
        <v>0.602777777777778</v>
      </c>
      <c r="E19" s="833">
        <v>0.604166666666667</v>
      </c>
    </row>
    <row r="20" s="181" customFormat="1" spans="1:8">
      <c r="A20" s="833">
        <v>0.625</v>
      </c>
      <c r="B20" s="832" t="s">
        <v>8</v>
      </c>
      <c r="C20" s="833">
        <v>0.635416666666667</v>
      </c>
      <c r="D20" s="833">
        <v>0.644444444444444</v>
      </c>
      <c r="E20" s="833">
        <v>0.645833333333333</v>
      </c>
    </row>
    <row r="21" s="181" customFormat="1" spans="1:8">
      <c r="A21" s="833">
        <v>0.666666666666667</v>
      </c>
      <c r="B21" s="832" t="s">
        <v>8</v>
      </c>
      <c r="C21" s="833">
        <v>0.677083333333333</v>
      </c>
      <c r="D21" s="833">
        <v>0.686111111111111</v>
      </c>
      <c r="E21" s="833">
        <v>0.6875</v>
      </c>
      <c r="F21" s="373"/>
      <c r="G21" s="373"/>
      <c r="H21" s="373"/>
    </row>
    <row r="22" s="181" customFormat="1" spans="1:8">
      <c r="A22" s="833">
        <v>0.708333333333333</v>
      </c>
      <c r="B22" s="832" t="s">
        <v>8</v>
      </c>
      <c r="C22" s="833">
        <v>0.71875</v>
      </c>
      <c r="D22" s="833">
        <v>0.727777777777778</v>
      </c>
      <c r="E22" s="833">
        <v>0.729166666666667</v>
      </c>
      <c r="F22" s="373"/>
      <c r="G22" s="373"/>
      <c r="H22" s="373"/>
    </row>
    <row r="23" s="181" customFormat="1" spans="1:8">
      <c r="A23" s="454" t="s">
        <v>8</v>
      </c>
      <c r="B23" s="830" t="s">
        <v>8</v>
      </c>
      <c r="C23" s="454" t="s">
        <v>8</v>
      </c>
      <c r="D23" s="454" t="s">
        <v>8</v>
      </c>
      <c r="E23" s="454">
        <v>0.753472222222222</v>
      </c>
      <c r="F23" s="373"/>
      <c r="G23" s="373"/>
      <c r="H23" s="373"/>
    </row>
    <row r="24" s="181" customFormat="1" spans="1:8">
      <c r="A24" s="831">
        <v>0.75</v>
      </c>
      <c r="B24" s="832" t="s">
        <v>8</v>
      </c>
      <c r="C24" s="831">
        <v>0.760416666666667</v>
      </c>
      <c r="D24" s="831">
        <v>0.769444444444444</v>
      </c>
      <c r="E24" s="831">
        <v>0.770833333333333</v>
      </c>
      <c r="F24" s="373"/>
      <c r="G24" s="373"/>
      <c r="H24" s="373"/>
    </row>
    <row r="25" s="181" customFormat="1" spans="1:8">
      <c r="A25" s="829">
        <v>0.770833333333333</v>
      </c>
      <c r="B25" s="830" t="s">
        <v>8</v>
      </c>
      <c r="C25" s="829">
        <v>0.78125</v>
      </c>
      <c r="D25" s="829">
        <v>0.790277777777778</v>
      </c>
      <c r="E25" s="829">
        <v>0.791666666666667</v>
      </c>
      <c r="F25" s="373"/>
      <c r="G25" s="373"/>
      <c r="H25" s="373"/>
    </row>
    <row r="26" s="181" customFormat="1" spans="1:8">
      <c r="A26" s="831">
        <v>0.791666666666667</v>
      </c>
      <c r="B26" s="832" t="s">
        <v>8</v>
      </c>
      <c r="C26" s="831">
        <v>0.802083333333333</v>
      </c>
      <c r="D26" s="831">
        <v>0.811111111111111</v>
      </c>
      <c r="E26" s="831">
        <v>0.8125</v>
      </c>
      <c r="F26" s="373"/>
      <c r="G26" s="373"/>
      <c r="H26" s="373"/>
    </row>
    <row r="27" s="181" customFormat="1" ht="15" customHeight="1" spans="1:8">
      <c r="A27" s="829">
        <v>0.8125</v>
      </c>
      <c r="B27" s="830" t="s">
        <v>8</v>
      </c>
      <c r="C27" s="829">
        <v>0.822916666666667</v>
      </c>
      <c r="D27" s="829">
        <v>0.831944444444444</v>
      </c>
      <c r="E27" s="829">
        <v>0.833333333333333</v>
      </c>
      <c r="F27" s="373"/>
      <c r="G27" s="373"/>
      <c r="H27" s="373"/>
    </row>
    <row r="28" s="586" customFormat="1" ht="18.95" customHeight="1" spans="1:8">
      <c r="A28" s="829">
        <v>0.854166666666667</v>
      </c>
      <c r="B28" s="839" t="s">
        <v>8</v>
      </c>
      <c r="C28" s="829" t="s">
        <v>8</v>
      </c>
      <c r="D28" s="829" t="s">
        <v>8</v>
      </c>
      <c r="E28" s="829" t="s">
        <v>8</v>
      </c>
    </row>
    <row r="29" s="733" customFormat="1" ht="39.75" customHeight="1" spans="1:8">
      <c r="A29" s="840" t="s">
        <v>125</v>
      </c>
      <c r="B29" s="841"/>
      <c r="C29" s="841"/>
      <c r="D29" s="842"/>
    </row>
    <row r="30" s="733" customFormat="1" ht="111" customHeight="1" spans="1:8">
      <c r="A30" s="690" t="s">
        <v>126</v>
      </c>
      <c r="B30" s="691"/>
      <c r="C30" s="691"/>
      <c r="D30" s="692"/>
    </row>
    <row r="31" s="733" customFormat="1" ht="33.6" customHeight="1" spans="1:8">
      <c r="A31" s="192" t="s">
        <v>20</v>
      </c>
      <c r="B31" s="491"/>
      <c r="C31" s="491"/>
      <c r="D31" s="194"/>
    </row>
    <row r="32" s="733" customFormat="1" ht="48" spans="1:8">
      <c r="A32" s="843" t="s">
        <v>127</v>
      </c>
      <c r="B32" s="843" t="s">
        <v>91</v>
      </c>
      <c r="C32" s="201" t="s">
        <v>124</v>
      </c>
      <c r="D32" s="201" t="s">
        <v>122</v>
      </c>
    </row>
    <row r="33" s="733" customFormat="1" spans="1:9">
      <c r="A33" s="844" t="s">
        <v>8</v>
      </c>
      <c r="B33" s="844">
        <v>0.576388888888889</v>
      </c>
      <c r="C33" s="844">
        <v>0.583333333333333</v>
      </c>
      <c r="D33" s="844">
        <v>0.590277777777778</v>
      </c>
    </row>
    <row r="34" s="733" customFormat="1" spans="1:9">
      <c r="A34" s="844">
        <v>0.604166666666667</v>
      </c>
      <c r="B34" s="844">
        <v>0.618055555555556</v>
      </c>
      <c r="C34" s="844">
        <v>0.625</v>
      </c>
      <c r="D34" s="844">
        <v>0.631944444444444</v>
      </c>
      <c r="E34" s="845"/>
      <c r="F34" s="845"/>
      <c r="G34" s="845"/>
      <c r="H34" s="845"/>
      <c r="I34" s="845"/>
    </row>
    <row r="35" s="733" customFormat="1" spans="1:9">
      <c r="A35" s="846">
        <v>0.645833333333333</v>
      </c>
      <c r="B35" s="847">
        <v>0.659722222222222</v>
      </c>
      <c r="C35" s="847">
        <v>0.666666666666667</v>
      </c>
      <c r="D35" s="848">
        <v>0.673611111111111</v>
      </c>
      <c r="E35" s="845"/>
      <c r="F35" s="845"/>
      <c r="G35" s="845"/>
      <c r="H35" s="845"/>
      <c r="I35" s="845"/>
    </row>
    <row r="36" s="733" customFormat="1" spans="1:9">
      <c r="A36" s="849">
        <v>0.6875</v>
      </c>
      <c r="B36" s="844">
        <v>0.701388888888889</v>
      </c>
      <c r="C36" s="844">
        <v>0.708333333333333</v>
      </c>
      <c r="D36" s="850">
        <v>0.715277777777778</v>
      </c>
      <c r="E36" s="845"/>
      <c r="F36" s="851"/>
      <c r="G36" s="851"/>
      <c r="H36" s="845"/>
      <c r="I36" s="845"/>
    </row>
    <row r="37" s="733" customFormat="1" spans="1:9">
      <c r="A37" s="829">
        <v>0.729166666666667</v>
      </c>
      <c r="B37" s="454">
        <v>0.743055555555555</v>
      </c>
      <c r="C37" s="454">
        <v>0.75</v>
      </c>
      <c r="D37" s="455">
        <v>0.756944444444445</v>
      </c>
      <c r="E37" s="845"/>
      <c r="F37" s="851"/>
      <c r="G37" s="851"/>
      <c r="H37" s="845"/>
      <c r="I37" s="845"/>
    </row>
    <row r="38" s="733" customFormat="1" spans="1:9">
      <c r="A38" s="849">
        <v>0.770833333333333</v>
      </c>
      <c r="B38" s="844">
        <v>0.784722222222222</v>
      </c>
      <c r="C38" s="844">
        <v>0.791666666666667</v>
      </c>
      <c r="D38" s="850">
        <v>0.798611111111111</v>
      </c>
      <c r="E38" s="845"/>
      <c r="F38" s="851"/>
      <c r="G38" s="851"/>
      <c r="H38" s="845"/>
      <c r="I38" s="845"/>
    </row>
    <row r="39" s="733" customFormat="1" spans="1:9">
      <c r="A39" s="829">
        <v>0.8125</v>
      </c>
      <c r="B39" s="454">
        <v>0.826388888888889</v>
      </c>
      <c r="C39" s="454">
        <v>0.833333333333333</v>
      </c>
      <c r="D39" s="852">
        <v>0.840277777777778</v>
      </c>
      <c r="E39" s="845"/>
      <c r="F39" s="851"/>
      <c r="G39" s="851"/>
      <c r="H39" s="845"/>
      <c r="I39" s="845"/>
    </row>
    <row r="40" s="733" customFormat="1" spans="1:9">
      <c r="A40" s="849">
        <v>0.854166666666667</v>
      </c>
      <c r="B40" s="844">
        <v>0.868055555555556</v>
      </c>
      <c r="C40" s="853">
        <v>0.875</v>
      </c>
      <c r="D40" s="854">
        <v>0.881944444444445</v>
      </c>
      <c r="E40" s="845"/>
      <c r="F40" s="851"/>
      <c r="G40" s="851"/>
      <c r="H40" s="845"/>
      <c r="I40" s="845"/>
    </row>
    <row r="41" s="733" customFormat="1" ht="16.5" spans="1:9">
      <c r="A41" s="456">
        <v>0.895833333333333</v>
      </c>
      <c r="B41" s="457">
        <v>0.909722222222222</v>
      </c>
      <c r="C41" s="855">
        <v>0.916666666666667</v>
      </c>
      <c r="D41" s="458" t="s">
        <v>8</v>
      </c>
      <c r="E41" s="845"/>
      <c r="F41" s="851"/>
      <c r="G41" s="851"/>
      <c r="H41" s="845"/>
      <c r="I41" s="845"/>
    </row>
    <row r="42" s="586" customFormat="1" ht="5.1" customHeight="1" spans="1:9">
      <c r="A42" s="856"/>
      <c r="B42" s="856"/>
      <c r="C42" s="856"/>
      <c r="D42" s="856"/>
      <c r="E42" s="857"/>
    </row>
    <row r="43" s="733" customFormat="1" ht="30" customHeight="1" spans="1:9">
      <c r="A43" s="188" t="s">
        <v>118</v>
      </c>
      <c r="B43" s="189"/>
      <c r="C43" s="189"/>
      <c r="D43" s="189"/>
      <c r="E43" s="190"/>
    </row>
    <row r="44" s="586" customFormat="1" ht="90" customHeight="1" spans="1:9">
      <c r="A44" s="204" t="s">
        <v>128</v>
      </c>
      <c r="B44" s="205"/>
      <c r="C44" s="205"/>
      <c r="D44" s="205"/>
      <c r="E44" s="206"/>
    </row>
    <row r="45" s="733" customFormat="1" ht="33.6" customHeight="1" spans="1:9">
      <c r="A45" s="483" t="s">
        <v>33</v>
      </c>
      <c r="B45" s="484"/>
      <c r="C45" s="484"/>
      <c r="D45" s="484"/>
      <c r="E45" s="485"/>
    </row>
    <row r="46" s="324" customFormat="1" ht="51.75" customHeight="1" spans="1:9">
      <c r="A46" s="201" t="s">
        <v>129</v>
      </c>
      <c r="B46" s="620" t="s">
        <v>124</v>
      </c>
      <c r="C46" s="620" t="s">
        <v>130</v>
      </c>
      <c r="D46" s="858" t="s">
        <v>131</v>
      </c>
      <c r="E46" s="858" t="s">
        <v>132</v>
      </c>
    </row>
    <row r="47" s="324" customFormat="1" ht="15" customHeight="1" spans="1:9">
      <c r="A47" s="637">
        <v>0.277777777777778</v>
      </c>
      <c r="B47" s="859">
        <v>0.288194444444444</v>
      </c>
      <c r="C47" s="860">
        <v>0.295138888888889</v>
      </c>
      <c r="D47" s="860">
        <v>0.298611111111111</v>
      </c>
      <c r="E47" s="860">
        <v>0.305555555555556</v>
      </c>
      <c r="F47" s="651"/>
      <c r="G47" s="651"/>
      <c r="H47" s="651"/>
      <c r="I47" s="651"/>
    </row>
    <row r="48" s="324" customFormat="1" ht="15" customHeight="1" spans="1:9">
      <c r="A48" s="637"/>
      <c r="B48" s="637">
        <v>0.322916666666667</v>
      </c>
      <c r="C48" s="861"/>
      <c r="D48" s="861"/>
      <c r="E48" s="861"/>
    </row>
    <row r="49" s="324" customFormat="1" ht="15" customHeight="1" spans="1:9">
      <c r="A49" s="637"/>
      <c r="B49" s="637"/>
      <c r="C49" s="862">
        <v>0.402777777777778</v>
      </c>
      <c r="D49" s="861">
        <v>0.409722222222222</v>
      </c>
      <c r="E49" s="861">
        <v>0.416666666666667</v>
      </c>
      <c r="F49" s="651"/>
      <c r="G49" s="651"/>
      <c r="H49" s="651"/>
      <c r="I49" s="651"/>
    </row>
    <row r="50" s="324" customFormat="1" ht="15" customHeight="1" spans="1:9">
      <c r="A50" s="637"/>
      <c r="B50" s="638">
        <v>0.4375</v>
      </c>
      <c r="C50" s="862">
        <v>0.444444444444444</v>
      </c>
      <c r="D50" s="861">
        <v>0.451388888888889</v>
      </c>
      <c r="E50" s="861">
        <v>0.458333333333333</v>
      </c>
      <c r="F50" s="651"/>
      <c r="G50" s="651"/>
      <c r="H50" s="651"/>
      <c r="I50" s="651"/>
    </row>
    <row r="51" s="324" customFormat="1" ht="15" customHeight="1" spans="1:9">
      <c r="A51" s="637"/>
      <c r="B51" s="862">
        <v>0.479166666666667</v>
      </c>
      <c r="C51" s="861">
        <v>0.486111111111111</v>
      </c>
      <c r="D51" s="861">
        <v>0.493055555555556</v>
      </c>
      <c r="E51" s="861">
        <v>0.5</v>
      </c>
      <c r="F51" s="651"/>
      <c r="G51" s="651"/>
      <c r="H51" s="651"/>
      <c r="I51" s="651"/>
    </row>
    <row r="52" s="324" customFormat="1" ht="15" customHeight="1" spans="1:9">
      <c r="A52" s="637"/>
      <c r="B52" s="861">
        <v>0.520833333333333</v>
      </c>
      <c r="C52" s="861">
        <v>0.527777777777778</v>
      </c>
      <c r="D52" s="861">
        <v>0.534722222222222</v>
      </c>
      <c r="E52" s="861">
        <v>0.541666666666667</v>
      </c>
    </row>
    <row r="53" s="324" customFormat="1" ht="15" customHeight="1" spans="1:9">
      <c r="A53" s="637"/>
      <c r="B53" s="861">
        <v>0.5625</v>
      </c>
      <c r="C53" s="861"/>
      <c r="D53" s="861"/>
      <c r="E53" s="861"/>
      <c r="F53" s="851"/>
      <c r="G53" s="851"/>
    </row>
    <row r="54" s="324" customFormat="1" ht="15" customHeight="1" spans="1:9">
      <c r="A54" s="637"/>
      <c r="B54" s="861">
        <v>0.697916666666667</v>
      </c>
      <c r="C54" s="861">
        <v>0.704861111111111</v>
      </c>
      <c r="D54" s="861">
        <v>0.711805555555555</v>
      </c>
      <c r="E54" s="861">
        <v>0.71875</v>
      </c>
      <c r="F54" s="851"/>
      <c r="G54" s="851"/>
    </row>
    <row r="55" s="324" customFormat="1" ht="15" customHeight="1" spans="1:9">
      <c r="A55" s="637"/>
      <c r="B55" s="861">
        <v>0.739583333333333</v>
      </c>
      <c r="C55" s="861">
        <v>0.746527777777778</v>
      </c>
      <c r="D55" s="861">
        <v>0.753472222222222</v>
      </c>
      <c r="E55" s="861">
        <v>0.760416666666667</v>
      </c>
      <c r="F55" s="851"/>
      <c r="G55" s="851"/>
    </row>
    <row r="56" s="324" customFormat="1" ht="15" customHeight="1" spans="1:9">
      <c r="A56" s="637"/>
      <c r="B56" s="863">
        <v>0.78125</v>
      </c>
      <c r="C56" s="863"/>
      <c r="D56" s="863"/>
      <c r="E56" s="863"/>
      <c r="F56" s="851"/>
      <c r="G56" s="851"/>
    </row>
    <row r="57" s="586" customFormat="1" ht="5.1" customHeight="1" spans="1:9">
      <c r="A57" s="856"/>
      <c r="B57" s="856"/>
      <c r="C57" s="856"/>
      <c r="D57" s="856"/>
      <c r="E57" s="857"/>
    </row>
    <row r="58" s="324" customFormat="1" ht="15" customHeight="1" spans="1:9">
      <c r="A58" s="657" t="s">
        <v>15</v>
      </c>
      <c r="B58" s="658"/>
      <c r="C58" s="658"/>
      <c r="D58" s="658"/>
      <c r="E58" s="659"/>
    </row>
    <row r="59" s="324" customFormat="1" ht="5.1" customHeight="1" spans="1:9">
      <c r="A59" s="765"/>
      <c r="B59" s="765"/>
      <c r="C59" s="765"/>
      <c r="D59" s="765"/>
    </row>
    <row r="60" s="324" customFormat="1" ht="25" customHeight="1" spans="1:9">
      <c r="A60" s="699" t="s">
        <v>16</v>
      </c>
      <c r="B60" s="700"/>
      <c r="C60" s="700"/>
      <c r="D60" s="700"/>
      <c r="E60" s="701"/>
    </row>
    <row r="61" s="324" customFormat="1" ht="15" customHeight="1" spans="1:9">
      <c r="A61" s="864" t="s">
        <v>133</v>
      </c>
      <c r="B61" s="865"/>
      <c r="C61" s="865"/>
      <c r="D61" s="865"/>
      <c r="E61" s="866"/>
    </row>
    <row r="62" s="324" customFormat="1" ht="5.1" customHeight="1" spans="1:9">
      <c r="A62" s="867"/>
      <c r="B62" s="867"/>
      <c r="C62" s="867"/>
      <c r="D62" s="867"/>
    </row>
    <row r="63" customFormat="1" ht="30" customHeight="1" spans="1:9">
      <c r="A63" s="727" t="s">
        <v>20</v>
      </c>
      <c r="B63" s="728"/>
      <c r="C63" s="728"/>
      <c r="D63" s="728"/>
      <c r="E63" s="729"/>
    </row>
    <row r="64" s="324" customFormat="1" ht="44.25" customHeight="1" spans="1:9">
      <c r="A64" s="868" t="s">
        <v>134</v>
      </c>
      <c r="B64" s="869"/>
      <c r="C64" s="869"/>
      <c r="D64" s="869"/>
      <c r="E64" s="870"/>
    </row>
    <row r="65" customFormat="1" ht="23.25" customHeight="1" spans="1:9">
      <c r="A65" s="868" t="s">
        <v>135</v>
      </c>
      <c r="B65" s="869"/>
      <c r="C65" s="869"/>
      <c r="D65" s="869"/>
      <c r="E65" s="870"/>
    </row>
    <row r="66" customFormat="1" ht="24" customHeight="1" spans="1:9">
      <c r="A66" s="868" t="s">
        <v>136</v>
      </c>
      <c r="B66" s="869"/>
      <c r="C66" s="869"/>
      <c r="D66" s="869"/>
      <c r="E66" s="870"/>
    </row>
    <row r="67" s="324" customFormat="1" ht="5.1" customHeight="1" spans="1:9">
      <c r="A67" s="871"/>
      <c r="B67" s="871"/>
      <c r="C67" s="871"/>
      <c r="D67" s="871"/>
    </row>
    <row r="68" s="733" customFormat="1" spans="1:9">
      <c r="A68" s="872" t="s">
        <v>13</v>
      </c>
      <c r="B68" s="873" t="s">
        <v>137</v>
      </c>
    </row>
    <row r="69" s="733" customFormat="1" ht="16.5" spans="1:9">
      <c r="A69" s="874" t="s">
        <v>14</v>
      </c>
      <c r="B69" s="875" t="s">
        <v>138</v>
      </c>
    </row>
    <row r="70" s="182" customFormat="1" ht="5.1" customHeight="1" spans="1:9">
      <c r="C70" s="212"/>
      <c r="D70" s="213"/>
      <c r="E70" s="212"/>
      <c r="F70" s="212"/>
      <c r="G70" s="213"/>
      <c r="H70" s="212"/>
      <c r="I70" s="212"/>
    </row>
    <row r="71" s="184" customFormat="1" ht="24.95" customHeight="1" spans="1:9">
      <c r="A71" s="258"/>
      <c r="B71" s="259"/>
      <c r="C71" s="259"/>
      <c r="D71" s="259"/>
      <c r="E71" s="259"/>
    </row>
    <row r="72" customFormat="1" spans="1:9">
      <c r="A72" s="260"/>
      <c r="B72" s="260"/>
      <c r="C72" s="261"/>
      <c r="D72" s="262"/>
      <c r="E72" s="262"/>
      <c r="F72" s="186"/>
      <c r="G72" s="186"/>
      <c r="H72" s="186"/>
      <c r="I72" s="186"/>
    </row>
    <row r="73" s="186" customFormat="1" spans="1:9">
      <c r="A73" s="264"/>
      <c r="B73" s="265"/>
      <c r="C73" s="266"/>
      <c r="D73" s="267"/>
      <c r="E73" s="268"/>
      <c r="G73" s="263"/>
    </row>
    <row r="74" s="186" customFormat="1" ht="51" customHeight="1" spans="1:9">
      <c r="A74" s="264"/>
      <c r="B74" s="265"/>
      <c r="C74" s="266"/>
      <c r="D74" s="267"/>
      <c r="E74" s="268"/>
      <c r="G74" s="329"/>
    </row>
    <row r="75" s="186" customFormat="1" ht="35.25" customHeight="1" spans="1:9">
      <c r="A75" s="264"/>
      <c r="B75" s="265"/>
      <c r="C75" s="266"/>
      <c r="D75" s="267"/>
      <c r="E75" s="268"/>
      <c r="G75" s="678"/>
    </row>
    <row r="76" s="186" customFormat="1" ht="53.25" customHeight="1" spans="1:9">
      <c r="A76" s="683"/>
      <c r="B76" s="684"/>
      <c r="C76" s="347"/>
      <c r="D76" s="348"/>
      <c r="E76" s="349"/>
    </row>
    <row r="77" s="186" customFormat="1" ht="48" customHeight="1" spans="1:9">
      <c r="A77" s="683"/>
      <c r="B77" s="684"/>
      <c r="C77" s="347"/>
      <c r="D77" s="348"/>
      <c r="E77" s="349"/>
    </row>
    <row r="78" s="186" customFormat="1" ht="36.75" customHeight="1" spans="1:9">
      <c r="A78" s="683"/>
      <c r="B78" s="684"/>
      <c r="C78" s="347"/>
      <c r="D78" s="348"/>
      <c r="E78" s="349"/>
    </row>
    <row r="79" s="186" customFormat="1" ht="66" customHeight="1" spans="1:9">
      <c r="A79" s="876"/>
      <c r="B79" s="877"/>
      <c r="C79" s="878"/>
      <c r="D79" s="879"/>
      <c r="E79" s="880"/>
    </row>
    <row r="80" s="186" customFormat="1" ht="30" customHeight="1" spans="1:9">
      <c r="A80" s="876"/>
      <c r="B80" s="877"/>
      <c r="C80" s="878"/>
      <c r="D80" s="879"/>
      <c r="E80" s="880"/>
    </row>
    <row r="81" s="186" customFormat="1" ht="30" customHeight="1" spans="1:7">
      <c r="A81" s="876"/>
      <c r="B81" s="877"/>
      <c r="C81" s="878"/>
      <c r="D81" s="879"/>
      <c r="E81" s="880"/>
    </row>
    <row r="82" s="186" customFormat="1" ht="63" customHeight="1" spans="1:7">
      <c r="A82" s="683"/>
      <c r="B82" s="684"/>
      <c r="C82" s="347"/>
      <c r="D82" s="348"/>
      <c r="E82" s="349"/>
    </row>
    <row r="83" s="186" customFormat="1" ht="63" customHeight="1" spans="1:7">
      <c r="A83" s="683"/>
      <c r="B83" s="705"/>
      <c r="C83" s="427"/>
      <c r="D83" s="303"/>
      <c r="E83" s="619"/>
    </row>
    <row r="84" s="186" customFormat="1" ht="38.25" customHeight="1" spans="1:7">
      <c r="A84" s="683"/>
      <c r="B84" s="684"/>
      <c r="C84" s="347"/>
      <c r="D84" s="348"/>
      <c r="E84" s="349"/>
    </row>
    <row r="85" s="186" customFormat="1" ht="7.5" customHeight="1" spans="1:7">
      <c r="A85" s="269"/>
      <c r="B85" s="270"/>
      <c r="C85" s="271"/>
      <c r="D85" s="272"/>
      <c r="E85" s="272"/>
    </row>
    <row r="86" s="186" customFormat="1" ht="24.95" customHeight="1" spans="1:7">
      <c r="A86" s="730"/>
      <c r="B86" s="600"/>
      <c r="C86" s="600"/>
      <c r="D86" s="600"/>
      <c r="E86" s="600"/>
      <c r="G86" s="185"/>
    </row>
    <row r="87" s="186" customFormat="1" ht="24.95" customHeight="1" spans="1:7">
      <c r="A87" s="731"/>
      <c r="B87" s="731"/>
      <c r="C87" s="731"/>
      <c r="D87" s="731"/>
      <c r="E87" s="731"/>
      <c r="G87" s="185"/>
    </row>
    <row r="88" s="186" customFormat="1" ht="20.1" customHeight="1" spans="1:7">
      <c r="A88" s="280"/>
      <c r="B88" s="280"/>
      <c r="C88" s="281"/>
      <c r="D88" s="282"/>
      <c r="E88" s="408"/>
      <c r="G88" s="185"/>
    </row>
    <row r="89" s="186" customFormat="1" ht="20.1" customHeight="1" spans="1:7">
      <c r="A89" s="280"/>
      <c r="B89" s="280"/>
      <c r="C89" s="281"/>
      <c r="D89" s="282"/>
      <c r="E89" s="503"/>
      <c r="G89" s="185"/>
    </row>
    <row r="90" s="186" customFormat="1" ht="20.1" customHeight="1" spans="1:7">
      <c r="A90" s="280"/>
      <c r="B90" s="280"/>
      <c r="C90" s="281"/>
      <c r="D90" s="282"/>
      <c r="E90" s="504"/>
      <c r="G90" s="185"/>
    </row>
    <row r="91" s="186" customFormat="1" ht="17.25" spans="1:7">
      <c r="A91" s="280"/>
      <c r="B91" s="280"/>
      <c r="C91" s="281"/>
      <c r="D91" s="282"/>
      <c r="E91" s="505"/>
      <c r="G91" s="185"/>
    </row>
    <row r="92" s="186" customFormat="1" ht="20.1" customHeight="1" spans="1:7">
      <c r="A92" s="280"/>
      <c r="B92" s="280"/>
      <c r="C92" s="281"/>
      <c r="D92" s="282"/>
      <c r="E92" s="408"/>
      <c r="G92" s="185"/>
    </row>
    <row r="93" s="186" customFormat="1" spans="1:7">
      <c r="D93" s="185"/>
      <c r="G93" s="185"/>
    </row>
    <row r="94" s="186" customFormat="1" spans="1:7">
      <c r="D94" s="185"/>
      <c r="G94" s="185"/>
    </row>
    <row r="95" s="186" customFormat="1" spans="1:7">
      <c r="D95" s="185"/>
      <c r="G95" s="185"/>
    </row>
    <row r="96" s="186" customFormat="1" spans="1:7">
      <c r="D96" s="185"/>
      <c r="G96" s="185"/>
    </row>
  </sheetData>
  <mergeCells count="32">
    <mergeCell ref="A1:E1"/>
    <mergeCell ref="A2:E2"/>
    <mergeCell ref="A3:E3"/>
    <mergeCell ref="A29:D29"/>
    <mergeCell ref="A30:D30"/>
    <mergeCell ref="A31:D31"/>
    <mergeCell ref="A42:D42"/>
    <mergeCell ref="A43:E43"/>
    <mergeCell ref="A44:E44"/>
    <mergeCell ref="A45:E45"/>
    <mergeCell ref="A58:E58"/>
    <mergeCell ref="A59:D59"/>
    <mergeCell ref="A60:E60"/>
    <mergeCell ref="A61:E61"/>
    <mergeCell ref="A62:D62"/>
    <mergeCell ref="A63:E63"/>
    <mergeCell ref="A64:E64"/>
    <mergeCell ref="A65:E65"/>
    <mergeCell ref="A66:E66"/>
    <mergeCell ref="A71:E71"/>
    <mergeCell ref="A86:E86"/>
    <mergeCell ref="A87:B87"/>
    <mergeCell ref="A88:B88"/>
    <mergeCell ref="A89:B89"/>
    <mergeCell ref="A90:B90"/>
    <mergeCell ref="A91:B91"/>
    <mergeCell ref="A92:B92"/>
    <mergeCell ref="A73:A75"/>
    <mergeCell ref="A76:A78"/>
    <mergeCell ref="A79:A81"/>
    <mergeCell ref="A82:A84"/>
    <mergeCell ref="E89:E91"/>
  </mergeCells>
  <pageMargins left="1.18110236220472" right="0.748031496062992" top="0.196850393700787" bottom="0.196850393700787" header="0.511811023622047" footer="0.511811023622047"/>
  <pageSetup paperSize="9" scale="87" orientation="portrait"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72"/>
  <sheetViews>
    <sheetView showGridLines="0" zoomScale="70" zoomScaleNormal="70" topLeftCell="A35" workbookViewId="0">
      <selection activeCell="J49" sqref="A47:J49"/>
    </sheetView>
  </sheetViews>
  <sheetFormatPr defaultColWidth="9.1047619047619" defaultRowHeight="18"/>
  <cols>
    <col min="1" max="3" width="40.552380952381" style="182" customWidth="1"/>
    <col min="4" max="4" width="41.4285714285714" style="735" customWidth="1"/>
    <col min="5" max="6" width="41.4285714285714" style="186" customWidth="1"/>
    <col min="7" max="7" width="41.4285714285714" style="185" customWidth="1"/>
    <col min="8" max="11" width="20.6666666666667" style="186" customWidth="1"/>
    <col min="12" max="16384" width="9.1047619047619" style="186"/>
  </cols>
  <sheetData>
    <row r="1" s="324" customFormat="1" ht="42.9" customHeight="1" spans="1:7">
      <c r="A1" s="188" t="s">
        <v>139</v>
      </c>
      <c r="B1" s="189"/>
      <c r="C1" s="189"/>
      <c r="D1" s="189"/>
      <c r="E1" s="189"/>
      <c r="F1" s="190"/>
    </row>
    <row r="2" s="324" customFormat="1" ht="85" customHeight="1" spans="1:7">
      <c r="A2" s="736" t="s">
        <v>140</v>
      </c>
      <c r="B2" s="737"/>
      <c r="C2" s="737"/>
      <c r="D2" s="737"/>
      <c r="E2" s="737"/>
      <c r="F2" s="738"/>
    </row>
    <row r="3" s="324" customFormat="1" ht="30.6" customHeight="1" spans="1:7">
      <c r="A3" s="438" t="s">
        <v>141</v>
      </c>
      <c r="B3" s="193"/>
      <c r="C3" s="193"/>
      <c r="D3" s="193"/>
      <c r="E3" s="193"/>
      <c r="F3" s="490"/>
    </row>
    <row r="4" s="324" customFormat="1" ht="44.1" customHeight="1" spans="1:7">
      <c r="A4" s="739" t="s">
        <v>142</v>
      </c>
      <c r="B4" s="739" t="s">
        <v>143</v>
      </c>
      <c r="C4" s="739" t="s">
        <v>144</v>
      </c>
      <c r="D4" s="739" t="s">
        <v>145</v>
      </c>
      <c r="E4" s="739" t="s">
        <v>146</v>
      </c>
      <c r="F4" s="739" t="s">
        <v>147</v>
      </c>
      <c r="G4" s="740"/>
    </row>
    <row r="5" s="324" customFormat="1" ht="20.25" spans="1:7">
      <c r="A5" s="741" t="s">
        <v>8</v>
      </c>
      <c r="B5" s="741"/>
      <c r="C5" s="741"/>
      <c r="D5" s="742" t="s">
        <v>8</v>
      </c>
      <c r="E5" s="743" t="s">
        <v>8</v>
      </c>
      <c r="F5" s="743">
        <v>0.256944444444444</v>
      </c>
      <c r="G5" s="744"/>
    </row>
    <row r="6" s="324" customFormat="1" ht="20.25" spans="1:7">
      <c r="A6" s="745" t="s">
        <v>8</v>
      </c>
      <c r="B6" s="745"/>
      <c r="C6" s="745"/>
      <c r="D6" s="746">
        <v>0.260416666666667</v>
      </c>
      <c r="E6" s="746">
        <v>0.270833333333333</v>
      </c>
      <c r="F6" s="746">
        <v>0.284722222222222</v>
      </c>
      <c r="G6" s="744"/>
    </row>
    <row r="7" s="324" customFormat="1" ht="20.25" spans="1:7">
      <c r="A7" s="747">
        <v>0.263888888888889</v>
      </c>
      <c r="B7" s="747"/>
      <c r="C7" s="747"/>
      <c r="D7" s="748">
        <v>0.28125</v>
      </c>
      <c r="E7" s="748" t="s">
        <v>8</v>
      </c>
      <c r="F7" s="748" t="s">
        <v>8</v>
      </c>
      <c r="G7" s="744"/>
    </row>
    <row r="8" s="324" customFormat="1" ht="20.25" spans="1:7">
      <c r="A8" s="749">
        <v>0.267361111111111</v>
      </c>
      <c r="B8" s="749"/>
      <c r="C8" s="749"/>
      <c r="D8" s="750">
        <v>0.284722222222222</v>
      </c>
      <c r="E8" s="751">
        <v>0.295138888888889</v>
      </c>
      <c r="F8" s="750">
        <v>0.3125</v>
      </c>
      <c r="G8" s="744"/>
    </row>
    <row r="9" s="324" customFormat="1" ht="20.25" spans="1:7">
      <c r="A9" s="752">
        <v>0.295138888888889</v>
      </c>
      <c r="B9" s="752"/>
      <c r="C9" s="752"/>
      <c r="D9" s="753">
        <v>0.3125</v>
      </c>
      <c r="E9" s="754">
        <v>0.322916666666667</v>
      </c>
      <c r="F9" s="753">
        <v>0.340277777777778</v>
      </c>
      <c r="G9" s="744"/>
    </row>
    <row r="10" s="324" customFormat="1" ht="20.25" spans="1:7">
      <c r="A10" s="749">
        <v>0.322916666666667</v>
      </c>
      <c r="B10" s="749"/>
      <c r="C10" s="749"/>
      <c r="D10" s="750">
        <v>0.340277777777778</v>
      </c>
      <c r="E10" s="750">
        <v>0.350694444444444</v>
      </c>
      <c r="F10" s="750">
        <v>0.368055555555556</v>
      </c>
      <c r="G10" s="744"/>
    </row>
    <row r="11" s="324" customFormat="1" ht="20.25" spans="1:7">
      <c r="A11" s="752">
        <v>0.350694444444444</v>
      </c>
      <c r="B11" s="752"/>
      <c r="C11" s="752"/>
      <c r="D11" s="753">
        <v>0.368055555555556</v>
      </c>
      <c r="E11" s="755">
        <v>0.378472222222222</v>
      </c>
      <c r="F11" s="753">
        <v>0.395833333333333</v>
      </c>
      <c r="G11" s="744"/>
    </row>
    <row r="12" s="324" customFormat="1" ht="20.25" spans="1:7">
      <c r="A12" s="749">
        <v>0.378472222222222</v>
      </c>
      <c r="B12" s="749"/>
      <c r="C12" s="749"/>
      <c r="D12" s="750">
        <v>0.395833333333333</v>
      </c>
      <c r="E12" s="750" t="s">
        <v>8</v>
      </c>
      <c r="F12" s="750" t="s">
        <v>8</v>
      </c>
      <c r="G12" s="744"/>
    </row>
    <row r="13" s="324" customFormat="1" ht="20.25" spans="1:7">
      <c r="A13" s="752" t="s">
        <v>8</v>
      </c>
      <c r="B13" s="752"/>
      <c r="C13" s="752"/>
      <c r="D13" s="753" t="s">
        <v>8</v>
      </c>
      <c r="E13" s="753" t="s">
        <v>8</v>
      </c>
      <c r="F13" s="753">
        <v>0.451388888888889</v>
      </c>
      <c r="G13" s="744"/>
    </row>
    <row r="14" s="324" customFormat="1" ht="20.25" spans="1:7">
      <c r="A14" s="749" t="s">
        <v>8</v>
      </c>
      <c r="B14" s="749"/>
      <c r="C14" s="749"/>
      <c r="D14" s="750">
        <v>0.451388888888889</v>
      </c>
      <c r="E14" s="750">
        <v>0.461805555555556</v>
      </c>
      <c r="F14" s="750">
        <v>0.479166666666667</v>
      </c>
      <c r="G14" s="744"/>
    </row>
    <row r="15" s="324" customFormat="1" ht="20.25" spans="1:7">
      <c r="A15" s="752">
        <v>0.461805555555556</v>
      </c>
      <c r="B15" s="752"/>
      <c r="C15" s="752"/>
      <c r="D15" s="753">
        <v>0.479166666666667</v>
      </c>
      <c r="E15" s="753">
        <v>0.489583333333333</v>
      </c>
      <c r="F15" s="753">
        <v>0.503472222222222</v>
      </c>
      <c r="G15" s="744"/>
    </row>
    <row r="16" s="324" customFormat="1" ht="20.25" spans="1:7">
      <c r="A16" s="749">
        <v>0.489583333333333</v>
      </c>
      <c r="B16" s="749"/>
      <c r="C16" s="749"/>
      <c r="D16" s="750">
        <v>0.503472222222222</v>
      </c>
      <c r="E16" s="751">
        <v>0.517361111111111</v>
      </c>
      <c r="F16" s="750">
        <v>0.534722222222222</v>
      </c>
      <c r="G16" s="744"/>
    </row>
    <row r="17" s="324" customFormat="1" ht="20.25" spans="1:10">
      <c r="A17" s="752">
        <v>0.517361111111111</v>
      </c>
      <c r="B17" s="752"/>
      <c r="C17" s="752"/>
      <c r="D17" s="753">
        <v>0.534722222222222</v>
      </c>
      <c r="E17" s="754">
        <v>0.545138888888889</v>
      </c>
      <c r="F17" s="754">
        <v>0.5625</v>
      </c>
      <c r="G17" s="744"/>
    </row>
    <row r="18" s="324" customFormat="1" ht="20.25" spans="1:10">
      <c r="A18" s="749">
        <v>0.548611111111111</v>
      </c>
      <c r="B18" s="749"/>
      <c r="C18" s="749"/>
      <c r="D18" s="750">
        <v>0.5625</v>
      </c>
      <c r="E18" s="750">
        <v>0.576388888888889</v>
      </c>
      <c r="F18" s="756">
        <v>0.590277777777778</v>
      </c>
      <c r="G18" s="744"/>
    </row>
    <row r="19" s="324" customFormat="1" ht="20.25" spans="1:10">
      <c r="A19" s="752">
        <v>0.576388888888889</v>
      </c>
      <c r="B19" s="752">
        <v>0.578472222222222</v>
      </c>
      <c r="C19" s="752">
        <v>0.583333333333333</v>
      </c>
      <c r="D19" s="753">
        <v>0.597222222222222</v>
      </c>
      <c r="E19" s="755">
        <v>0.607638888888889</v>
      </c>
      <c r="F19" s="754">
        <v>0.618055555555556</v>
      </c>
      <c r="G19" s="744"/>
    </row>
    <row r="20" s="324" customFormat="1" ht="20.25" spans="1:10">
      <c r="A20" s="749">
        <v>0.600694444444444</v>
      </c>
      <c r="B20" s="749"/>
      <c r="C20" s="749"/>
      <c r="D20" s="750">
        <v>0.618055555555556</v>
      </c>
      <c r="E20" s="750">
        <v>0.628472222222222</v>
      </c>
      <c r="F20" s="756">
        <v>0.645833333333333</v>
      </c>
      <c r="G20" s="744"/>
    </row>
    <row r="21" s="324" customFormat="1" ht="20.25" spans="1:10">
      <c r="A21" s="752">
        <v>0.631944444444444</v>
      </c>
      <c r="B21" s="752">
        <v>0.634027777777778</v>
      </c>
      <c r="C21" s="752">
        <v>0.638888888888889</v>
      </c>
      <c r="D21" s="753">
        <v>0.652777777777778</v>
      </c>
      <c r="E21" s="753">
        <v>0.663194444444444</v>
      </c>
      <c r="F21" s="754">
        <v>0.673611111111111</v>
      </c>
      <c r="G21" s="744"/>
    </row>
    <row r="22" s="181" customFormat="1" ht="20.25" spans="1:10">
      <c r="A22" s="749">
        <v>0.65625</v>
      </c>
      <c r="B22" s="749"/>
      <c r="C22" s="749"/>
      <c r="D22" s="750">
        <v>0.673611111111111</v>
      </c>
      <c r="E22" s="750">
        <v>0.684027777777778</v>
      </c>
      <c r="F22" s="750">
        <v>0.701388888888889</v>
      </c>
      <c r="G22" s="757"/>
      <c r="H22" s="373"/>
      <c r="I22" s="373"/>
      <c r="J22" s="373"/>
    </row>
    <row r="23" s="181" customFormat="1" ht="20.25" spans="1:10">
      <c r="A23" s="752">
        <v>0.6875</v>
      </c>
      <c r="B23" s="752">
        <v>0.689583333333333</v>
      </c>
      <c r="C23" s="752">
        <v>0.694444444444444</v>
      </c>
      <c r="D23" s="753">
        <v>0.708333333333333</v>
      </c>
      <c r="E23" s="753">
        <v>0.71875</v>
      </c>
      <c r="F23" s="753">
        <v>0.729166666666667</v>
      </c>
      <c r="G23" s="744"/>
      <c r="H23" s="373"/>
      <c r="I23" s="373"/>
      <c r="J23" s="373"/>
    </row>
    <row r="24" s="183" customFormat="1" ht="15" customHeight="1" spans="1:10">
      <c r="A24" s="749">
        <v>0.711805555555556</v>
      </c>
      <c r="B24" s="749"/>
      <c r="C24" s="749"/>
      <c r="D24" s="750">
        <v>0.729166666666667</v>
      </c>
      <c r="E24" s="750">
        <v>0.739583333333333</v>
      </c>
      <c r="F24" s="750">
        <v>0.756944444444444</v>
      </c>
      <c r="G24" s="744"/>
    </row>
    <row r="25" s="183" customFormat="1" customHeight="1" spans="1:10">
      <c r="A25" s="752">
        <v>0.739583333333333</v>
      </c>
      <c r="B25" s="752"/>
      <c r="C25" s="752"/>
      <c r="D25" s="753">
        <v>0.756944444444444</v>
      </c>
      <c r="E25" s="754">
        <v>0.767361111111111</v>
      </c>
      <c r="F25" s="753">
        <v>0.784722222222222</v>
      </c>
      <c r="G25" s="744"/>
    </row>
    <row r="26" s="183" customFormat="1" ht="18.9" customHeight="1" spans="1:10">
      <c r="A26" s="749">
        <v>0.767361111111111</v>
      </c>
      <c r="B26" s="749"/>
      <c r="C26" s="749"/>
      <c r="D26" s="750">
        <v>0.784722222222222</v>
      </c>
      <c r="E26" s="751">
        <v>0.795138888888889</v>
      </c>
      <c r="F26" s="751">
        <v>0.8125</v>
      </c>
      <c r="G26" s="744"/>
    </row>
    <row r="27" s="183" customFormat="1" ht="20.25" spans="1:10">
      <c r="A27" s="752">
        <v>0.795138888888889</v>
      </c>
      <c r="B27" s="752"/>
      <c r="C27" s="752"/>
      <c r="D27" s="753">
        <v>0.8125</v>
      </c>
      <c r="E27" s="753">
        <v>0.822916666666667</v>
      </c>
      <c r="F27" s="753" t="s">
        <v>8</v>
      </c>
      <c r="G27" s="744"/>
    </row>
    <row r="28" s="183" customFormat="1" ht="20.25" spans="1:10">
      <c r="A28" s="749" t="s">
        <v>8</v>
      </c>
      <c r="B28" s="749">
        <v>0.822916666666667</v>
      </c>
      <c r="C28" s="749">
        <v>0.833333333333333</v>
      </c>
      <c r="D28" s="750">
        <v>0.84375</v>
      </c>
      <c r="E28" s="750">
        <v>0.854166666666667</v>
      </c>
      <c r="F28" s="751">
        <v>0.864583333333333</v>
      </c>
      <c r="G28" s="744"/>
    </row>
    <row r="29" s="183" customFormat="1" ht="21" spans="1:10">
      <c r="A29" s="758" t="s">
        <v>8</v>
      </c>
      <c r="B29" s="758">
        <v>0.875</v>
      </c>
      <c r="C29" s="758">
        <v>0.881944444444444</v>
      </c>
      <c r="D29" s="759">
        <v>0.895833333333333</v>
      </c>
      <c r="E29" s="759" t="s">
        <v>8</v>
      </c>
      <c r="F29" s="759" t="s">
        <v>8</v>
      </c>
      <c r="G29" s="757"/>
    </row>
    <row r="30" s="732" customFormat="1" ht="10" customHeight="1" spans="1:10">
      <c r="A30" s="760"/>
      <c r="B30" s="761"/>
      <c r="C30" s="761"/>
      <c r="D30" s="762"/>
      <c r="E30" s="763"/>
      <c r="F30" s="763"/>
      <c r="G30" s="764"/>
    </row>
    <row r="31" s="324" customFormat="1" ht="27.75" customHeight="1" spans="1:10">
      <c r="A31" s="657" t="s">
        <v>15</v>
      </c>
      <c r="B31" s="658"/>
      <c r="C31" s="658"/>
      <c r="D31" s="658"/>
      <c r="E31" s="658"/>
      <c r="F31" s="659"/>
    </row>
    <row r="32" s="324" customFormat="1" ht="5.1" customHeight="1" spans="1:10">
      <c r="A32" s="765"/>
      <c r="B32" s="765"/>
      <c r="C32" s="765"/>
      <c r="D32" s="765"/>
      <c r="E32" s="766"/>
      <c r="F32" s="766"/>
    </row>
    <row r="33" s="324" customFormat="1" ht="30" customHeight="1" spans="1:9">
      <c r="A33" s="727" t="s">
        <v>16</v>
      </c>
      <c r="B33" s="728"/>
      <c r="C33" s="728"/>
      <c r="D33" s="728"/>
      <c r="E33" s="728"/>
      <c r="F33" s="729"/>
    </row>
    <row r="34" s="324" customFormat="1" ht="66" customHeight="1" spans="1:9">
      <c r="A34" s="767" t="s">
        <v>148</v>
      </c>
      <c r="B34" s="768"/>
      <c r="C34" s="768"/>
      <c r="D34" s="768"/>
      <c r="E34" s="768"/>
      <c r="F34" s="769"/>
    </row>
    <row r="35" s="324" customFormat="1" ht="85.05" customHeight="1" spans="1:9">
      <c r="A35" s="770" t="s">
        <v>149</v>
      </c>
      <c r="B35" s="771"/>
      <c r="C35" s="771"/>
      <c r="D35" s="771"/>
      <c r="E35" s="771"/>
      <c r="F35" s="772"/>
    </row>
    <row r="36" s="324" customFormat="1" ht="93" customHeight="1" spans="1:9">
      <c r="A36" s="767" t="s">
        <v>150</v>
      </c>
      <c r="B36" s="768"/>
      <c r="C36" s="768"/>
      <c r="D36" s="768"/>
      <c r="E36" s="768"/>
      <c r="F36" s="769"/>
    </row>
    <row r="37" s="324" customFormat="1" ht="31.05" customHeight="1" spans="1:9">
      <c r="A37" s="767" t="s">
        <v>151</v>
      </c>
      <c r="B37" s="768"/>
      <c r="C37" s="768"/>
      <c r="D37" s="768"/>
      <c r="E37" s="768"/>
      <c r="F37" s="769"/>
    </row>
    <row r="38" s="324" customFormat="1" ht="4.35" customHeight="1" spans="1:9">
      <c r="A38" s="773"/>
      <c r="B38" s="773"/>
      <c r="C38" s="773"/>
      <c r="D38" s="773"/>
      <c r="E38" s="766"/>
      <c r="F38" s="766"/>
    </row>
    <row r="39" customFormat="1" ht="30" customHeight="1" spans="1:9">
      <c r="A39" s="727" t="s">
        <v>20</v>
      </c>
      <c r="B39" s="728"/>
      <c r="C39" s="728"/>
      <c r="D39" s="728"/>
      <c r="E39" s="728"/>
      <c r="F39" s="729"/>
    </row>
    <row r="40" s="324" customFormat="1" ht="69" customHeight="1" spans="1:9">
      <c r="A40" s="767" t="s">
        <v>152</v>
      </c>
      <c r="B40" s="768"/>
      <c r="C40" s="768"/>
      <c r="D40" s="768"/>
      <c r="E40" s="768"/>
      <c r="F40" s="769"/>
    </row>
    <row r="41" customFormat="1" ht="29.1" customHeight="1" spans="1:9">
      <c r="A41" s="774" t="s">
        <v>153</v>
      </c>
      <c r="B41" s="775"/>
      <c r="C41" s="775"/>
      <c r="D41" s="775"/>
      <c r="E41" s="775"/>
      <c r="F41" s="776"/>
    </row>
    <row r="42" s="324" customFormat="1" ht="5.1" customHeight="1" spans="1:9">
      <c r="A42" s="777"/>
      <c r="B42" s="778"/>
      <c r="C42" s="778"/>
      <c r="D42" s="778"/>
      <c r="E42" s="778"/>
      <c r="F42" s="779"/>
    </row>
    <row r="43" s="733" customFormat="1" ht="20.25" spans="1:9">
      <c r="A43" s="780" t="s">
        <v>13</v>
      </c>
      <c r="B43" s="781"/>
      <c r="C43" s="782"/>
      <c r="D43" s="782"/>
      <c r="E43" s="782"/>
      <c r="F43" s="782"/>
    </row>
    <row r="44" s="733" customFormat="1" ht="20.25" spans="1:9">
      <c r="A44" s="783" t="s">
        <v>14</v>
      </c>
      <c r="B44" s="784"/>
      <c r="C44" s="782"/>
      <c r="D44" s="782"/>
      <c r="E44" s="782"/>
      <c r="F44" s="782"/>
    </row>
    <row r="45" s="733" customFormat="1" ht="21" spans="1:9">
      <c r="A45" s="785" t="s">
        <v>40</v>
      </c>
      <c r="B45" s="786"/>
      <c r="C45" s="782"/>
      <c r="D45" s="782"/>
      <c r="E45" s="782"/>
      <c r="F45" s="782"/>
    </row>
    <row r="46" s="182" customFormat="1" ht="4.5" customHeight="1" spans="1:9">
      <c r="C46" s="212"/>
      <c r="D46" s="213"/>
      <c r="E46" s="212"/>
      <c r="F46" s="212"/>
      <c r="G46" s="213"/>
      <c r="H46" s="212"/>
    </row>
    <row r="47" s="184" customFormat="1" ht="24.9" customHeight="1" spans="1:9">
      <c r="A47" s="787"/>
      <c r="B47" s="787"/>
      <c r="C47" s="787"/>
      <c r="D47" s="787"/>
      <c r="E47" s="788"/>
      <c r="F47" s="788"/>
      <c r="G47" s="788"/>
      <c r="H47" s="788"/>
      <c r="I47" s="788"/>
    </row>
    <row r="48" s="184" customFormat="1" ht="24.9" customHeight="1" spans="1:9">
      <c r="A48" s="789"/>
      <c r="B48" s="789"/>
      <c r="C48" s="790"/>
      <c r="D48" s="787"/>
      <c r="E48" s="788"/>
      <c r="F48" s="788"/>
      <c r="G48" s="788"/>
      <c r="H48" s="791"/>
      <c r="I48" s="792"/>
    </row>
    <row r="49" s="186" customFormat="1" ht="44.25" customHeight="1" spans="1:10">
      <c r="A49" s="789"/>
      <c r="B49" s="789"/>
      <c r="C49" s="790"/>
      <c r="D49" s="789"/>
      <c r="E49" s="262"/>
      <c r="F49" s="262"/>
      <c r="G49" s="262"/>
      <c r="H49" s="793"/>
      <c r="I49" s="792"/>
    </row>
    <row r="50" s="186" customFormat="1" ht="60" customHeight="1" spans="1:10">
      <c r="A50" s="794"/>
      <c r="B50" s="795"/>
      <c r="C50" s="796"/>
      <c r="D50" s="797"/>
      <c r="E50" s="268"/>
      <c r="F50" s="267"/>
      <c r="G50" s="268"/>
      <c r="H50" s="798"/>
      <c r="I50" s="268"/>
    </row>
    <row r="51" s="186" customFormat="1" ht="60" customHeight="1" spans="1:10">
      <c r="A51" s="794"/>
      <c r="B51" s="795"/>
      <c r="C51" s="796"/>
      <c r="D51" s="797"/>
      <c r="E51" s="268"/>
      <c r="F51" s="267"/>
      <c r="G51" s="268"/>
      <c r="H51" s="798"/>
      <c r="I51" s="268"/>
    </row>
    <row r="52" s="186" customFormat="1" ht="80.1" customHeight="1" spans="1:10">
      <c r="A52" s="794"/>
      <c r="B52" s="795"/>
      <c r="C52" s="799"/>
      <c r="D52" s="797"/>
      <c r="E52" s="268"/>
      <c r="F52" s="267"/>
      <c r="G52" s="268"/>
      <c r="H52" s="798"/>
      <c r="I52" s="268"/>
    </row>
    <row r="53" s="734" customFormat="1" ht="75" customHeight="1" spans="1:10">
      <c r="A53" s="800"/>
      <c r="B53" s="801"/>
      <c r="C53" s="802"/>
      <c r="D53" s="803"/>
      <c r="E53" s="804"/>
      <c r="F53" s="805"/>
      <c r="G53" s="804"/>
      <c r="H53" s="806"/>
      <c r="I53" s="804"/>
    </row>
    <row r="54" s="186" customFormat="1" ht="60" customHeight="1" spans="1:10">
      <c r="A54" s="794"/>
      <c r="B54" s="807"/>
      <c r="C54" s="796"/>
      <c r="D54" s="803"/>
      <c r="E54" s="804"/>
      <c r="F54" s="805"/>
      <c r="G54" s="804"/>
      <c r="H54" s="806"/>
      <c r="I54" s="804"/>
    </row>
    <row r="55" s="186" customFormat="1" ht="60" customHeight="1" spans="1:10">
      <c r="A55" s="794"/>
      <c r="B55" s="795"/>
      <c r="C55" s="796"/>
      <c r="D55" s="797"/>
      <c r="E55" s="268"/>
      <c r="F55" s="267"/>
      <c r="G55" s="268"/>
      <c r="H55" s="798"/>
      <c r="I55" s="268"/>
    </row>
    <row r="56" s="186" customFormat="1" ht="54.9" customHeight="1" spans="1:10">
      <c r="A56" s="794"/>
      <c r="B56" s="795"/>
      <c r="C56" s="796"/>
      <c r="D56" s="797"/>
      <c r="E56" s="268"/>
      <c r="F56" s="267"/>
      <c r="G56" s="268"/>
      <c r="H56" s="798"/>
      <c r="I56" s="268"/>
      <c r="J56" s="287"/>
    </row>
    <row r="57" s="186" customFormat="1" ht="35.1" customHeight="1" spans="1:10">
      <c r="A57" s="794"/>
      <c r="B57" s="795"/>
      <c r="C57" s="796"/>
      <c r="D57" s="797"/>
      <c r="E57" s="268"/>
      <c r="F57" s="267"/>
      <c r="G57" s="268"/>
      <c r="H57" s="798"/>
      <c r="I57" s="268"/>
    </row>
    <row r="58" s="186" customFormat="1" ht="35.1" customHeight="1" spans="1:10">
      <c r="A58" s="794"/>
      <c r="B58" s="795"/>
      <c r="C58" s="796"/>
      <c r="D58" s="797"/>
      <c r="E58" s="268"/>
      <c r="F58" s="267"/>
      <c r="G58" s="268"/>
      <c r="H58" s="798"/>
      <c r="I58" s="268"/>
    </row>
    <row r="59" s="186" customFormat="1" ht="53.25" customHeight="1" spans="1:10">
      <c r="A59" s="794"/>
      <c r="B59" s="795"/>
      <c r="C59" s="796"/>
      <c r="D59" s="797"/>
      <c r="E59" s="268"/>
      <c r="F59" s="267"/>
      <c r="G59" s="268"/>
      <c r="H59" s="798"/>
      <c r="I59" s="268"/>
    </row>
    <row r="60" s="186" customFormat="1" spans="1:10">
      <c r="A60" s="808"/>
      <c r="B60" s="809"/>
      <c r="C60" s="810"/>
      <c r="D60" s="811"/>
      <c r="E60" s="349"/>
      <c r="F60" s="348"/>
      <c r="G60" s="349"/>
      <c r="H60" s="812"/>
      <c r="I60" s="349"/>
    </row>
    <row r="61" s="186" customFormat="1" ht="35.1" customHeight="1" spans="1:10">
      <c r="A61" s="808"/>
      <c r="B61" s="809"/>
      <c r="C61" s="810"/>
      <c r="D61" s="811"/>
      <c r="E61" s="349"/>
      <c r="F61" s="348"/>
      <c r="G61" s="349"/>
      <c r="H61" s="812"/>
      <c r="I61" s="349"/>
    </row>
    <row r="62" s="186" customFormat="1" ht="48.75" customHeight="1" spans="1:10">
      <c r="A62" s="808"/>
      <c r="B62" s="809"/>
      <c r="C62" s="799"/>
      <c r="D62" s="811"/>
      <c r="E62" s="349"/>
      <c r="F62" s="348"/>
      <c r="G62" s="349"/>
      <c r="H62" s="812"/>
      <c r="I62" s="349"/>
    </row>
    <row r="63" s="186" customFormat="1" ht="35.1" customHeight="1" spans="1:10">
      <c r="A63" s="808"/>
      <c r="B63" s="809"/>
      <c r="C63" s="810"/>
      <c r="D63" s="811"/>
      <c r="E63" s="349"/>
      <c r="F63" s="348"/>
      <c r="G63" s="349"/>
      <c r="H63" s="812"/>
      <c r="I63" s="349"/>
    </row>
    <row r="64" s="186" customFormat="1" ht="35.1" customHeight="1" spans="1:10">
      <c r="A64" s="808"/>
      <c r="B64" s="809"/>
      <c r="C64" s="810"/>
      <c r="D64" s="811"/>
      <c r="E64" s="349"/>
      <c r="F64" s="348"/>
      <c r="G64" s="349"/>
      <c r="H64" s="812"/>
      <c r="I64" s="349"/>
    </row>
    <row r="65" s="186" customFormat="1" ht="35.1" customHeight="1" spans="1:11">
      <c r="A65" s="808"/>
      <c r="B65" s="809"/>
      <c r="C65" s="810"/>
      <c r="D65" s="811"/>
      <c r="E65" s="349"/>
      <c r="F65" s="348"/>
      <c r="G65" s="349"/>
      <c r="H65" s="812"/>
      <c r="I65" s="349"/>
    </row>
    <row r="66" s="186" customFormat="1" ht="35.1" customHeight="1" spans="1:11">
      <c r="A66" s="808"/>
      <c r="B66" s="809"/>
      <c r="C66" s="810"/>
      <c r="D66" s="811"/>
      <c r="E66" s="349"/>
      <c r="F66" s="348"/>
      <c r="G66" s="349"/>
      <c r="H66" s="812"/>
      <c r="I66" s="349"/>
    </row>
    <row r="67" s="186" customFormat="1" ht="7.5" customHeight="1" spans="1:11">
      <c r="A67" s="813"/>
      <c r="B67" s="814"/>
      <c r="C67" s="815"/>
      <c r="D67" s="816"/>
      <c r="E67" s="272"/>
    </row>
    <row r="68" s="186" customFormat="1" ht="24.9" customHeight="1" spans="1:11">
      <c r="A68" s="817"/>
      <c r="B68" s="818"/>
      <c r="C68" s="818"/>
      <c r="D68" s="818"/>
      <c r="E68" s="819"/>
      <c r="F68" s="819"/>
      <c r="G68" s="819"/>
      <c r="H68" s="819"/>
      <c r="I68" s="819"/>
      <c r="J68" s="819"/>
      <c r="K68" s="819"/>
    </row>
    <row r="69" s="186" customFormat="1" ht="24.9" customHeight="1" spans="1:11">
      <c r="A69" s="820"/>
      <c r="B69" s="820"/>
      <c r="C69" s="821"/>
      <c r="D69" s="821"/>
      <c r="E69" s="428"/>
      <c r="F69" s="428"/>
      <c r="G69" s="428"/>
      <c r="H69" s="428"/>
      <c r="I69" s="822"/>
      <c r="J69" s="822"/>
      <c r="K69" s="822"/>
    </row>
    <row r="70" s="186" customFormat="1" ht="39" customHeight="1" spans="1:11">
      <c r="A70" s="820"/>
      <c r="B70" s="820"/>
      <c r="C70" s="820"/>
      <c r="D70" s="820"/>
      <c r="E70" s="429"/>
      <c r="F70" s="429"/>
      <c r="G70" s="429"/>
      <c r="H70" s="429"/>
      <c r="I70" s="823"/>
      <c r="J70" s="823"/>
      <c r="K70" s="823"/>
    </row>
    <row r="71" s="186" customFormat="1" ht="20.1" customHeight="1" spans="1:11">
      <c r="A71" s="824"/>
      <c r="B71" s="824"/>
      <c r="C71" s="825"/>
      <c r="D71" s="826"/>
      <c r="E71" s="431"/>
      <c r="F71" s="395"/>
      <c r="G71" s="430"/>
      <c r="H71" s="431"/>
      <c r="I71" s="395"/>
      <c r="J71" s="430"/>
      <c r="K71" s="431"/>
    </row>
    <row r="72" s="186" customFormat="1" ht="20.1" customHeight="1" spans="1:11">
      <c r="A72" s="824"/>
      <c r="B72" s="824"/>
      <c r="C72" s="825"/>
      <c r="D72" s="826"/>
      <c r="E72" s="431"/>
      <c r="F72" s="395"/>
      <c r="G72" s="430"/>
      <c r="H72" s="431"/>
      <c r="I72" s="395"/>
      <c r="J72" s="430"/>
      <c r="K72" s="431"/>
    </row>
  </sheetData>
  <mergeCells count="36">
    <mergeCell ref="A1:F1"/>
    <mergeCell ref="A2:F2"/>
    <mergeCell ref="A3:F3"/>
    <mergeCell ref="A31:F31"/>
    <mergeCell ref="A32:D32"/>
    <mergeCell ref="A33:F33"/>
    <mergeCell ref="A34:F34"/>
    <mergeCell ref="A35:F35"/>
    <mergeCell ref="A36:F36"/>
    <mergeCell ref="A37:F37"/>
    <mergeCell ref="A38:D38"/>
    <mergeCell ref="A39:F39"/>
    <mergeCell ref="A40:F40"/>
    <mergeCell ref="A43:B43"/>
    <mergeCell ref="A44:B44"/>
    <mergeCell ref="A45:B45"/>
    <mergeCell ref="A47:I47"/>
    <mergeCell ref="D48:E48"/>
    <mergeCell ref="F48:G48"/>
    <mergeCell ref="A68:K68"/>
    <mergeCell ref="C69:E69"/>
    <mergeCell ref="F69:H69"/>
    <mergeCell ref="A71:B71"/>
    <mergeCell ref="A72:B72"/>
    <mergeCell ref="A48:A49"/>
    <mergeCell ref="A50:A59"/>
    <mergeCell ref="A60:A66"/>
    <mergeCell ref="B48:B49"/>
    <mergeCell ref="C48:C49"/>
    <mergeCell ref="H48:H49"/>
    <mergeCell ref="I48:I49"/>
    <mergeCell ref="I69:I70"/>
    <mergeCell ref="J69:J70"/>
    <mergeCell ref="K69:K70"/>
    <mergeCell ref="A69:B70"/>
    <mergeCell ref="A41:F42"/>
  </mergeCells>
  <pageMargins left="0.393700787401575" right="0.118110236220472" top="0.196850393700787" bottom="0.196850393700787" header="0.511811023622047" footer="0.511811023622047"/>
  <pageSetup paperSize="9" scale="30" orientation="portrait"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46"/>
  <sheetViews>
    <sheetView showGridLines="0" topLeftCell="A23" workbookViewId="0">
      <selection activeCell="F47" sqref="A35:F47"/>
    </sheetView>
  </sheetViews>
  <sheetFormatPr defaultColWidth="9.14285714285714" defaultRowHeight="15.75"/>
  <cols>
    <col min="1" max="3" width="30.7142857142857" style="186" customWidth="1"/>
    <col min="4" max="4" width="30.7142857142857" style="185" customWidth="1"/>
    <col min="5" max="5" width="30.7142857142857" style="186" customWidth="1"/>
    <col min="6" max="6" width="17.7142857142857" style="186" customWidth="1"/>
    <col min="7" max="7" width="15.7142857142857" style="185" customWidth="1"/>
    <col min="8" max="8" width="13.7142857142857" style="186" customWidth="1"/>
    <col min="9" max="9" width="15.7142857142857" style="186" customWidth="1"/>
    <col min="10" max="16384" width="9.14285714285714" style="186"/>
  </cols>
  <sheetData>
    <row r="1" ht="36.75" customHeight="1" spans="1:3">
      <c r="A1" s="325" t="s">
        <v>154</v>
      </c>
      <c r="B1" s="326"/>
      <c r="C1" s="327"/>
    </row>
    <row r="2" ht="107" customHeight="1" spans="1:3">
      <c r="A2" s="707" t="s">
        <v>155</v>
      </c>
      <c r="B2" s="708"/>
      <c r="C2" s="709"/>
    </row>
    <row r="3" ht="21" spans="1:3">
      <c r="A3" s="192" t="s">
        <v>27</v>
      </c>
      <c r="B3" s="491"/>
      <c r="C3" s="194"/>
    </row>
    <row r="4" ht="48" spans="1:3">
      <c r="A4" s="201" t="s">
        <v>106</v>
      </c>
      <c r="B4" s="201" t="s">
        <v>91</v>
      </c>
      <c r="C4" s="201" t="s">
        <v>156</v>
      </c>
    </row>
    <row r="5" spans="1:3">
      <c r="A5" s="710">
        <v>0.270833333333333</v>
      </c>
      <c r="B5" s="711">
        <v>0.284722222222222</v>
      </c>
      <c r="C5" s="712">
        <v>0.291666666666667</v>
      </c>
    </row>
    <row r="6" spans="1:3">
      <c r="A6" s="713">
        <v>0.298611111111111</v>
      </c>
      <c r="B6" s="714">
        <v>0.3125</v>
      </c>
      <c r="C6" s="715">
        <v>0.319444444444444</v>
      </c>
    </row>
    <row r="7" spans="1:3">
      <c r="A7" s="716">
        <v>0.326388888888889</v>
      </c>
      <c r="B7" s="714">
        <v>0.340277777777778</v>
      </c>
      <c r="C7" s="715">
        <v>0.347222222222222</v>
      </c>
    </row>
    <row r="8" spans="1:3">
      <c r="A8" s="716">
        <v>0.354166666666667</v>
      </c>
      <c r="B8" s="714">
        <v>0.368055555555556</v>
      </c>
      <c r="C8" s="715">
        <v>0.375</v>
      </c>
    </row>
    <row r="9" spans="1:3">
      <c r="A9" s="716">
        <v>0.381944444444444</v>
      </c>
      <c r="B9" s="714">
        <v>0.395833333333333</v>
      </c>
      <c r="C9" s="715">
        <v>0.402777777777778</v>
      </c>
    </row>
    <row r="10" spans="1:3">
      <c r="A10" s="716">
        <v>0.409722222222222</v>
      </c>
      <c r="B10" s="714">
        <v>0.423611111111111</v>
      </c>
      <c r="C10" s="715">
        <v>0.430555555555556</v>
      </c>
    </row>
    <row r="11" spans="1:3">
      <c r="A11" s="716">
        <v>0.4375</v>
      </c>
      <c r="B11" s="714">
        <v>0.451388888888889</v>
      </c>
      <c r="C11" s="715">
        <v>0.458333333333333</v>
      </c>
    </row>
    <row r="12" spans="1:3">
      <c r="A12" s="716">
        <v>0.465277777777778</v>
      </c>
      <c r="B12" s="714">
        <v>0.479166666666667</v>
      </c>
      <c r="C12" s="715">
        <v>0.486111111111111</v>
      </c>
    </row>
    <row r="13" spans="1:3">
      <c r="A13" s="716">
        <v>0.493055555555556</v>
      </c>
      <c r="B13" s="714">
        <v>0.506944444444445</v>
      </c>
      <c r="C13" s="715">
        <v>0.513888888888889</v>
      </c>
    </row>
    <row r="14" spans="1:3">
      <c r="A14" s="716">
        <v>0.520833333333333</v>
      </c>
      <c r="B14" s="714">
        <v>0.534722222222222</v>
      </c>
      <c r="C14" s="715">
        <v>0.541666666666666</v>
      </c>
    </row>
    <row r="15" spans="1:3">
      <c r="A15" s="716">
        <v>0.548611111111111</v>
      </c>
      <c r="B15" s="714">
        <v>0.5625</v>
      </c>
      <c r="C15" s="715">
        <v>0.569444444444444</v>
      </c>
    </row>
    <row r="16" spans="1:3">
      <c r="A16" s="716">
        <v>0.576388888888889</v>
      </c>
      <c r="B16" s="714">
        <v>0.590277777777778</v>
      </c>
      <c r="C16" s="715">
        <v>0.597222222222222</v>
      </c>
    </row>
    <row r="17" spans="1:4">
      <c r="A17" s="716">
        <v>0.604166666666667</v>
      </c>
      <c r="B17" s="714">
        <v>0.618055555555556</v>
      </c>
      <c r="C17" s="715">
        <v>0.625</v>
      </c>
    </row>
    <row r="18" spans="1:4">
      <c r="A18" s="716">
        <v>0.631944444444444</v>
      </c>
      <c r="B18" s="714">
        <v>0.645833333333333</v>
      </c>
      <c r="C18" s="715">
        <v>0.652777777777778</v>
      </c>
    </row>
    <row r="19" spans="1:4">
      <c r="A19" s="716">
        <v>0.659722222222222</v>
      </c>
      <c r="B19" s="714">
        <v>0.673611111111111</v>
      </c>
      <c r="C19" s="715">
        <v>0.680555555555555</v>
      </c>
    </row>
    <row r="20" spans="1:4">
      <c r="A20" s="716">
        <v>0.6875</v>
      </c>
      <c r="B20" s="714">
        <v>0.701388888888889</v>
      </c>
      <c r="C20" s="715">
        <v>0.708333333333333</v>
      </c>
    </row>
    <row r="21" spans="1:4">
      <c r="A21" s="716">
        <v>0.715277777777778</v>
      </c>
      <c r="B21" s="714">
        <v>0.729166666666667</v>
      </c>
      <c r="C21" s="715">
        <v>0.736111111111111</v>
      </c>
    </row>
    <row r="22" spans="1:4">
      <c r="A22" s="713">
        <v>0.743055555555556</v>
      </c>
      <c r="B22" s="714">
        <v>0.756944444444444</v>
      </c>
      <c r="C22" s="715">
        <v>0.763888888888888</v>
      </c>
    </row>
    <row r="23" spans="1:4">
      <c r="A23" s="716">
        <v>0.770833333333333</v>
      </c>
      <c r="B23" s="714">
        <v>0.784722222222222</v>
      </c>
      <c r="C23" s="715">
        <v>0.791666666666666</v>
      </c>
    </row>
    <row r="24" ht="16.5" spans="1:4">
      <c r="A24" s="717">
        <v>0.798611111111111</v>
      </c>
      <c r="B24" s="718">
        <v>0.8125</v>
      </c>
      <c r="C24" s="719">
        <v>0.819444444444445</v>
      </c>
    </row>
    <row r="25" s="706" customFormat="1" ht="5.1" customHeight="1" spans="1:4">
      <c r="A25" s="191"/>
      <c r="B25" s="191"/>
      <c r="C25" s="191"/>
      <c r="D25" s="191"/>
    </row>
    <row r="26" s="324" customFormat="1" ht="21" spans="1:4">
      <c r="A26" s="720" t="s">
        <v>15</v>
      </c>
      <c r="B26" s="721"/>
      <c r="C26" s="722"/>
      <c r="D26" s="648"/>
    </row>
    <row r="27" s="324" customFormat="1" ht="9.75" customHeight="1" spans="1:4">
      <c r="A27" s="723"/>
      <c r="B27" s="723"/>
      <c r="C27" s="723"/>
      <c r="D27" s="648"/>
    </row>
    <row r="28" s="324" customFormat="1" ht="23.25" customHeight="1" spans="1:4">
      <c r="A28" s="699" t="s">
        <v>16</v>
      </c>
      <c r="B28" s="700"/>
      <c r="C28" s="701"/>
      <c r="D28" s="724"/>
    </row>
    <row r="29" s="324" customFormat="1" ht="50.25" customHeight="1" spans="1:4">
      <c r="A29" s="702" t="s">
        <v>157</v>
      </c>
      <c r="B29" s="703"/>
      <c r="C29" s="704"/>
      <c r="D29" s="725"/>
    </row>
    <row r="30" s="324" customFormat="1" ht="6.6" customHeight="1" spans="1:4">
      <c r="A30" s="726"/>
      <c r="B30" s="726"/>
      <c r="C30" s="726"/>
    </row>
    <row r="31" s="324" customFormat="1" ht="21" spans="1:4">
      <c r="A31" s="727" t="s">
        <v>20</v>
      </c>
      <c r="B31" s="728"/>
      <c r="C31" s="729"/>
      <c r="D31" s="724"/>
    </row>
    <row r="32" s="324" customFormat="1" ht="22.5" customHeight="1" spans="1:4">
      <c r="A32" s="702" t="s">
        <v>158</v>
      </c>
      <c r="B32" s="703"/>
      <c r="C32" s="704"/>
      <c r="D32" s="725"/>
    </row>
    <row r="33" s="324" customFormat="1" ht="24" customHeight="1" spans="1:9">
      <c r="A33" s="702" t="s">
        <v>159</v>
      </c>
      <c r="B33" s="703"/>
      <c r="C33" s="704"/>
      <c r="D33" s="725"/>
    </row>
    <row r="34" s="182" customFormat="1" ht="4.5" customHeight="1" spans="1:9">
      <c r="C34" s="212"/>
      <c r="D34" s="213"/>
      <c r="E34" s="212"/>
      <c r="F34" s="212"/>
      <c r="G34" s="213"/>
      <c r="H34" s="212"/>
      <c r="I34" s="212"/>
    </row>
    <row r="35" s="184" customFormat="1" ht="24.95" customHeight="1" spans="1:9">
      <c r="A35" s="258"/>
      <c r="B35" s="259"/>
      <c r="C35" s="259"/>
      <c r="D35" s="259"/>
      <c r="E35" s="496"/>
    </row>
    <row r="36" spans="1:9">
      <c r="A36" s="260"/>
      <c r="B36" s="260"/>
      <c r="C36" s="261"/>
      <c r="D36" s="262"/>
      <c r="E36" s="262"/>
      <c r="G36" s="186"/>
    </row>
    <row r="37" ht="30" customHeight="1" spans="1:9">
      <c r="A37" s="264"/>
      <c r="B37" s="265"/>
      <c r="C37" s="266"/>
      <c r="D37" s="267"/>
      <c r="E37" s="268"/>
      <c r="G37" s="263"/>
    </row>
    <row r="38" ht="30" customHeight="1" spans="1:9">
      <c r="A38" s="264"/>
      <c r="B38" s="265"/>
      <c r="C38" s="266"/>
      <c r="D38" s="267"/>
      <c r="E38" s="268"/>
      <c r="G38" s="329"/>
    </row>
    <row r="39" ht="57" customHeight="1" spans="1:9">
      <c r="A39" s="264"/>
      <c r="B39" s="265"/>
      <c r="C39" s="266"/>
      <c r="D39" s="267"/>
      <c r="E39" s="268"/>
      <c r="G39" s="678"/>
    </row>
    <row r="40" ht="30" customHeight="1" spans="1:9">
      <c r="A40" s="683"/>
      <c r="B40" s="684"/>
      <c r="C40" s="347"/>
      <c r="D40" s="348"/>
      <c r="E40" s="349"/>
      <c r="G40" s="186"/>
    </row>
    <row r="41" ht="30" customHeight="1" spans="1:9">
      <c r="A41" s="683"/>
      <c r="B41" s="684"/>
      <c r="C41" s="347"/>
      <c r="D41" s="348"/>
      <c r="E41" s="349"/>
      <c r="G41" s="186"/>
    </row>
    <row r="42" ht="7.5" customHeight="1" spans="1:9">
      <c r="A42" s="269"/>
      <c r="B42" s="270"/>
      <c r="C42" s="271"/>
      <c r="D42" s="272"/>
      <c r="E42" s="272"/>
      <c r="G42" s="186"/>
    </row>
    <row r="43" ht="24.95" customHeight="1" spans="1:9">
      <c r="A43" s="730"/>
      <c r="B43" s="600"/>
      <c r="C43" s="600"/>
      <c r="D43" s="600"/>
      <c r="E43" s="600"/>
    </row>
    <row r="44" ht="24.95" customHeight="1" spans="1:9">
      <c r="A44" s="731"/>
      <c r="B44" s="731"/>
      <c r="C44" s="731"/>
      <c r="D44" s="731"/>
      <c r="E44" s="731"/>
    </row>
    <row r="45" ht="20.1" customHeight="1" spans="1:9">
      <c r="A45" s="280"/>
      <c r="B45" s="280"/>
      <c r="C45" s="281"/>
      <c r="D45" s="282"/>
      <c r="E45" s="408"/>
    </row>
    <row r="46" ht="20.1" customHeight="1" spans="1:9">
      <c r="A46" s="280"/>
      <c r="B46" s="280"/>
      <c r="C46" s="281"/>
      <c r="D46" s="282"/>
      <c r="E46" s="408"/>
    </row>
  </sheetData>
  <mergeCells count="17">
    <mergeCell ref="A1:C1"/>
    <mergeCell ref="A2:C2"/>
    <mergeCell ref="A3:C3"/>
    <mergeCell ref="A26:C26"/>
    <mergeCell ref="A28:C28"/>
    <mergeCell ref="A29:C29"/>
    <mergeCell ref="A30:C30"/>
    <mergeCell ref="A31:C31"/>
    <mergeCell ref="A32:C32"/>
    <mergeCell ref="A33:C33"/>
    <mergeCell ref="A35:E35"/>
    <mergeCell ref="A43:E43"/>
    <mergeCell ref="A44:B44"/>
    <mergeCell ref="A45:B45"/>
    <mergeCell ref="A46:B46"/>
    <mergeCell ref="A37:A39"/>
    <mergeCell ref="A40:A41"/>
  </mergeCells>
  <pageMargins left="1.18110236220472" right="0.748031496062992" top="0.196850393700787" bottom="0.196850393700787" header="0.511811023622047" footer="0.511811023622047"/>
  <pageSetup paperSize="9" scale="98" orientation="portrait" horizontalDpi="300" verticalDpi="3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41"/>
  <sheetViews>
    <sheetView showGridLines="0" topLeftCell="A16" workbookViewId="0">
      <selection activeCell="G41" sqref="A28:G41"/>
    </sheetView>
  </sheetViews>
  <sheetFormatPr defaultColWidth="9.14285714285714" defaultRowHeight="15.75" outlineLevelCol="7"/>
  <cols>
    <col min="1" max="3" width="27.7142857142857" style="186" customWidth="1"/>
    <col min="4" max="4" width="27.7142857142857" style="185" customWidth="1"/>
    <col min="5" max="5" width="27.7142857142857" style="186" customWidth="1"/>
    <col min="6" max="6" width="17.7142857142857" style="186" customWidth="1"/>
    <col min="7" max="7" width="15.7142857142857" style="185" customWidth="1"/>
    <col min="8" max="8" width="15.7142857142857" style="186" customWidth="1"/>
    <col min="9" max="16384" width="9.14285714285714" style="186"/>
  </cols>
  <sheetData>
    <row r="1" s="324" customFormat="1" ht="35.1" customHeight="1" spans="1:5">
      <c r="A1" s="188" t="s">
        <v>160</v>
      </c>
      <c r="B1" s="189"/>
      <c r="C1" s="189"/>
      <c r="D1" s="189"/>
      <c r="E1" s="190"/>
    </row>
    <row r="2" s="324" customFormat="1" ht="57" customHeight="1" spans="1:5">
      <c r="A2" s="690" t="s">
        <v>161</v>
      </c>
      <c r="B2" s="691"/>
      <c r="C2" s="691"/>
      <c r="D2" s="691"/>
      <c r="E2" s="692"/>
    </row>
    <row r="3" s="324" customFormat="1" ht="21" spans="1:5">
      <c r="A3" s="192" t="s">
        <v>27</v>
      </c>
      <c r="B3" s="491"/>
      <c r="C3" s="491"/>
      <c r="D3" s="491"/>
      <c r="E3" s="194"/>
    </row>
    <row r="4" s="324" customFormat="1" ht="48" spans="1:5">
      <c r="A4" s="620" t="s">
        <v>162</v>
      </c>
      <c r="B4" s="620" t="s">
        <v>163</v>
      </c>
      <c r="C4" s="620" t="s">
        <v>164</v>
      </c>
      <c r="D4" s="620" t="s">
        <v>165</v>
      </c>
      <c r="E4" s="620" t="s">
        <v>164</v>
      </c>
    </row>
    <row r="5" s="324" customFormat="1" spans="1:5">
      <c r="A5" s="288">
        <v>0.256944444444444</v>
      </c>
      <c r="B5" s="289">
        <v>0.259027777777778</v>
      </c>
      <c r="C5" s="289">
        <v>0.274305555555556</v>
      </c>
      <c r="D5" s="289">
        <v>0.277777777777778</v>
      </c>
      <c r="E5" s="290" t="s">
        <v>8</v>
      </c>
    </row>
    <row r="6" s="324" customFormat="1" spans="1:5">
      <c r="A6" s="453">
        <v>0.302083333333333</v>
      </c>
      <c r="B6" s="291">
        <v>0.304166666666667</v>
      </c>
      <c r="C6" s="291">
        <v>0.315972222222222</v>
      </c>
      <c r="D6" s="291">
        <v>0.319444444444444</v>
      </c>
      <c r="E6" s="536" t="s">
        <v>8</v>
      </c>
    </row>
    <row r="7" s="324" customFormat="1" spans="1:5">
      <c r="A7" s="453">
        <v>0.340277777777778</v>
      </c>
      <c r="B7" s="291" t="s">
        <v>8</v>
      </c>
      <c r="C7" s="291" t="s">
        <v>8</v>
      </c>
      <c r="D7" s="291" t="s">
        <v>8</v>
      </c>
      <c r="E7" s="536" t="s">
        <v>8</v>
      </c>
    </row>
    <row r="8" s="324" customFormat="1" spans="1:5">
      <c r="A8" s="453">
        <v>0.479166666666667</v>
      </c>
      <c r="B8" s="291">
        <v>0.48125</v>
      </c>
      <c r="C8" s="291">
        <v>0.496527777777778</v>
      </c>
      <c r="D8" s="291">
        <v>0.5</v>
      </c>
      <c r="E8" s="536" t="s">
        <v>8</v>
      </c>
    </row>
    <row r="9" s="324" customFormat="1" spans="1:5">
      <c r="A9" s="453">
        <v>0.520833333333333</v>
      </c>
      <c r="B9" s="291">
        <v>0.522916666666667</v>
      </c>
      <c r="C9" s="291">
        <v>0.538194444444444</v>
      </c>
      <c r="D9" s="291">
        <v>0.541666666666667</v>
      </c>
      <c r="E9" s="536" t="s">
        <v>8</v>
      </c>
    </row>
    <row r="10" s="324" customFormat="1" spans="1:5">
      <c r="A10" s="453">
        <v>0.565972222222222</v>
      </c>
      <c r="B10" s="291" t="s">
        <v>8</v>
      </c>
      <c r="C10" s="291" t="s">
        <v>8</v>
      </c>
      <c r="D10" s="291" t="s">
        <v>8</v>
      </c>
      <c r="E10" s="536" t="s">
        <v>8</v>
      </c>
    </row>
    <row r="11" s="324" customFormat="1" spans="1:5">
      <c r="A11" s="453">
        <v>0.701388888888889</v>
      </c>
      <c r="B11" s="291">
        <v>0.703472222222222</v>
      </c>
      <c r="C11" s="291" t="s">
        <v>8</v>
      </c>
      <c r="D11" s="291">
        <v>0.71875</v>
      </c>
      <c r="E11" s="693">
        <v>0.732638888888889</v>
      </c>
    </row>
    <row r="12" s="324" customFormat="1" spans="1:5">
      <c r="A12" s="453">
        <v>0.753472222222222</v>
      </c>
      <c r="B12" s="291">
        <v>0.755555555555556</v>
      </c>
      <c r="C12" s="291" t="s">
        <v>8</v>
      </c>
      <c r="D12" s="291">
        <v>0.770833333333333</v>
      </c>
      <c r="E12" s="536">
        <v>0.774305555555555</v>
      </c>
    </row>
    <row r="13" s="324" customFormat="1" spans="1:5">
      <c r="A13" s="453">
        <v>0.791666666666667</v>
      </c>
      <c r="B13" s="291" t="s">
        <v>8</v>
      </c>
      <c r="C13" s="291" t="s">
        <v>8</v>
      </c>
      <c r="D13" s="291" t="s">
        <v>8</v>
      </c>
      <c r="E13" s="536" t="s">
        <v>8</v>
      </c>
    </row>
    <row r="14" s="324" customFormat="1" ht="5.25" customHeight="1" spans="1:5">
      <c r="A14" s="694"/>
      <c r="B14" s="694"/>
      <c r="C14" s="694"/>
      <c r="D14" s="694"/>
      <c r="E14" s="694"/>
    </row>
    <row r="15" s="324" customFormat="1" ht="21" spans="1:5">
      <c r="A15" s="192" t="s">
        <v>20</v>
      </c>
      <c r="B15" s="491"/>
      <c r="C15" s="491"/>
      <c r="D15" s="491"/>
      <c r="E15" s="194"/>
    </row>
    <row r="16" s="324" customFormat="1" ht="48" spans="1:5">
      <c r="A16" s="201" t="s">
        <v>162</v>
      </c>
      <c r="B16" s="201" t="s">
        <v>163</v>
      </c>
      <c r="C16" s="201" t="s">
        <v>164</v>
      </c>
      <c r="D16" s="201" t="s">
        <v>165</v>
      </c>
      <c r="E16" s="201" t="s">
        <v>164</v>
      </c>
    </row>
    <row r="17" s="324" customFormat="1" spans="1:8">
      <c r="A17" s="695">
        <v>0.256944444444444</v>
      </c>
      <c r="B17" s="557">
        <v>0.259027777777778</v>
      </c>
      <c r="C17" s="557">
        <v>0.274305555555556</v>
      </c>
      <c r="D17" s="557">
        <v>0.277777777777778</v>
      </c>
      <c r="E17" s="696" t="s">
        <v>8</v>
      </c>
    </row>
    <row r="18" s="324" customFormat="1" spans="1:8">
      <c r="A18" s="453">
        <v>0.298611111111111</v>
      </c>
      <c r="B18" s="291" t="s">
        <v>8</v>
      </c>
      <c r="C18" s="291" t="s">
        <v>8</v>
      </c>
      <c r="D18" s="291" t="s">
        <v>8</v>
      </c>
      <c r="E18" s="536"/>
    </row>
    <row r="19" s="324" customFormat="1" spans="1:8">
      <c r="A19" s="453">
        <v>0.479166666666667</v>
      </c>
      <c r="B19" s="291">
        <v>0.48125</v>
      </c>
      <c r="C19" s="291">
        <v>0.496527777777778</v>
      </c>
      <c r="D19" s="291">
        <v>0.5</v>
      </c>
      <c r="E19" s="536"/>
    </row>
    <row r="20" s="324" customFormat="1" spans="1:8">
      <c r="A20" s="453">
        <v>0.520833333333333</v>
      </c>
      <c r="B20" s="291">
        <v>0.524305555555556</v>
      </c>
      <c r="C20" s="291" t="s">
        <v>8</v>
      </c>
      <c r="D20" s="291">
        <v>0.541666666666667</v>
      </c>
      <c r="E20" s="536"/>
    </row>
    <row r="21" s="324" customFormat="1" ht="16.5" spans="1:8">
      <c r="A21" s="238">
        <v>0.5625</v>
      </c>
      <c r="B21" s="239"/>
      <c r="C21" s="239"/>
      <c r="D21" s="239"/>
      <c r="E21" s="240"/>
    </row>
    <row r="22" s="324" customFormat="1" ht="5.25" customHeight="1" spans="1:8">
      <c r="A22" s="697"/>
      <c r="B22" s="697"/>
      <c r="C22" s="697"/>
      <c r="D22" s="697"/>
      <c r="E22" s="697"/>
    </row>
    <row r="23" s="324" customFormat="1" ht="27.75" customHeight="1" spans="1:8">
      <c r="A23" s="657" t="s">
        <v>15</v>
      </c>
      <c r="B23" s="658"/>
      <c r="C23" s="658"/>
      <c r="D23" s="658"/>
      <c r="E23" s="659"/>
    </row>
    <row r="24" s="324" customFormat="1" ht="5.1" customHeight="1" spans="1:8">
      <c r="A24" s="698"/>
      <c r="B24" s="698"/>
      <c r="C24" s="698"/>
      <c r="D24" s="698"/>
    </row>
    <row r="25" customFormat="1" ht="30" customHeight="1" spans="1:8">
      <c r="A25" s="699" t="s">
        <v>166</v>
      </c>
      <c r="B25" s="700"/>
      <c r="C25" s="700"/>
      <c r="D25" s="700"/>
      <c r="E25" s="701"/>
    </row>
    <row r="26" customFormat="1" ht="24.95" customHeight="1" spans="1:8">
      <c r="A26" s="702" t="s">
        <v>167</v>
      </c>
      <c r="B26" s="703"/>
      <c r="C26" s="703"/>
      <c r="D26" s="703"/>
      <c r="E26" s="704"/>
    </row>
    <row r="27" s="182" customFormat="1" ht="4.5" customHeight="1" spans="1:8">
      <c r="C27" s="212"/>
      <c r="D27" s="213"/>
      <c r="E27" s="212"/>
      <c r="F27" s="212"/>
      <c r="G27" s="213"/>
      <c r="H27" s="212"/>
    </row>
    <row r="28" s="184" customFormat="1" ht="24.95" customHeight="1" spans="1:8">
      <c r="A28" s="258"/>
      <c r="B28" s="259"/>
      <c r="C28" s="259"/>
      <c r="D28" s="259"/>
      <c r="E28" s="496"/>
    </row>
    <row r="29" spans="1:8">
      <c r="A29" s="260"/>
      <c r="B29" s="260"/>
      <c r="C29" s="261"/>
      <c r="D29" s="262"/>
      <c r="E29" s="262"/>
      <c r="G29" s="186"/>
    </row>
    <row r="30" ht="30" customHeight="1" spans="1:8">
      <c r="A30" s="264"/>
      <c r="B30" s="301"/>
      <c r="C30" s="427"/>
      <c r="D30" s="303"/>
      <c r="E30" s="619"/>
      <c r="G30" s="263"/>
    </row>
    <row r="31" ht="30" customHeight="1" spans="1:8">
      <c r="A31" s="264"/>
      <c r="B31" s="301"/>
      <c r="C31" s="427"/>
      <c r="D31" s="303"/>
      <c r="E31" s="619"/>
      <c r="G31" s="329"/>
    </row>
    <row r="32" ht="30" customHeight="1" spans="1:8">
      <c r="A32" s="264"/>
      <c r="B32" s="301"/>
      <c r="C32" s="427"/>
      <c r="D32" s="303"/>
      <c r="E32" s="619"/>
      <c r="G32" s="678"/>
    </row>
    <row r="33" ht="30" customHeight="1" spans="1:7">
      <c r="A33" s="264"/>
      <c r="B33" s="301"/>
      <c r="C33" s="427"/>
      <c r="D33" s="303"/>
      <c r="E33" s="619"/>
      <c r="G33" s="329"/>
    </row>
    <row r="34" ht="30" customHeight="1" spans="1:7">
      <c r="A34" s="683"/>
      <c r="B34" s="705"/>
      <c r="C34" s="427"/>
      <c r="D34" s="303"/>
      <c r="E34" s="619"/>
      <c r="G34" s="186"/>
    </row>
    <row r="35" ht="30" customHeight="1" spans="1:7">
      <c r="A35" s="683"/>
      <c r="B35" s="705"/>
      <c r="C35" s="427"/>
      <c r="D35" s="303"/>
      <c r="E35" s="619"/>
      <c r="G35" s="186"/>
    </row>
    <row r="36" ht="30" customHeight="1" spans="1:7">
      <c r="A36" s="683"/>
      <c r="B36" s="705"/>
      <c r="C36" s="427"/>
      <c r="D36" s="303"/>
      <c r="E36" s="619"/>
      <c r="G36" s="186"/>
    </row>
    <row r="37" ht="7.5" customHeight="1" spans="1:7">
      <c r="A37" s="269"/>
      <c r="B37" s="270"/>
      <c r="C37" s="271"/>
      <c r="D37" s="272"/>
      <c r="E37" s="272"/>
      <c r="G37" s="186"/>
    </row>
    <row r="38" ht="24.95" customHeight="1" spans="1:7">
      <c r="A38" s="273"/>
      <c r="B38" s="274"/>
      <c r="C38" s="274"/>
      <c r="D38" s="274"/>
      <c r="E38" s="407"/>
    </row>
    <row r="39" ht="24.95" customHeight="1" spans="1:7">
      <c r="A39" s="277"/>
      <c r="B39" s="277"/>
      <c r="C39" s="277"/>
      <c r="D39" s="277"/>
      <c r="E39" s="277"/>
    </row>
    <row r="40" ht="20.1" customHeight="1" spans="1:7">
      <c r="A40" s="280"/>
      <c r="B40" s="280"/>
      <c r="C40" s="281"/>
      <c r="D40" s="282"/>
      <c r="E40" s="408"/>
    </row>
    <row r="41" ht="20.1" customHeight="1" spans="1:7">
      <c r="A41" s="280"/>
      <c r="B41" s="280"/>
      <c r="C41" s="281"/>
      <c r="D41" s="282"/>
      <c r="E41" s="408"/>
    </row>
  </sheetData>
  <mergeCells count="17">
    <mergeCell ref="A1:E1"/>
    <mergeCell ref="A2:E2"/>
    <mergeCell ref="A3:E3"/>
    <mergeCell ref="A14:E14"/>
    <mergeCell ref="A15:E15"/>
    <mergeCell ref="A22:E22"/>
    <mergeCell ref="A23:E23"/>
    <mergeCell ref="A24:D24"/>
    <mergeCell ref="A25:E25"/>
    <mergeCell ref="A26:E26"/>
    <mergeCell ref="A28:E28"/>
    <mergeCell ref="A38:E38"/>
    <mergeCell ref="A39:B39"/>
    <mergeCell ref="A40:B40"/>
    <mergeCell ref="A41:B41"/>
    <mergeCell ref="A30:A33"/>
    <mergeCell ref="A34:A36"/>
  </mergeCells>
  <pageMargins left="1.18110236220472" right="0.748031496062992" top="0.196850393700787" bottom="0.196850393700787" header="0.511811023622047" footer="0.511811023622047"/>
  <pageSetup paperSize="9" scale="65" orientation="portrait" horizontalDpi="300" verticalDpi="300"/>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4"/>
  <sheetViews>
    <sheetView showGridLines="0" workbookViewId="0">
      <selection activeCell="F15" sqref="A8:F15"/>
    </sheetView>
  </sheetViews>
  <sheetFormatPr defaultColWidth="9.14285714285714" defaultRowHeight="15.75" outlineLevelCol="7"/>
  <cols>
    <col min="1" max="3" width="30.7142857142857" style="186" customWidth="1"/>
    <col min="4" max="4" width="30.7142857142857" style="185" customWidth="1"/>
    <col min="5" max="5" width="30.7142857142857" style="186" customWidth="1"/>
    <col min="6" max="6" width="17.7142857142857" style="186" customWidth="1"/>
    <col min="7" max="7" width="15.7142857142857" style="185" customWidth="1"/>
    <col min="8" max="8" width="15.7142857142857" style="186" customWidth="1"/>
    <col min="9" max="16384" width="9.14285714285714" style="186"/>
  </cols>
  <sheetData>
    <row r="1" s="324" customFormat="1" ht="36" customHeight="1" spans="1:8">
      <c r="A1" s="188" t="s">
        <v>168</v>
      </c>
      <c r="B1" s="189"/>
      <c r="C1" s="189"/>
      <c r="D1" s="190"/>
    </row>
    <row r="2" s="183" customFormat="1" ht="111" customHeight="1" spans="1:8">
      <c r="A2" s="687" t="s">
        <v>169</v>
      </c>
      <c r="B2" s="688"/>
      <c r="C2" s="688"/>
      <c r="D2" s="689"/>
      <c r="E2" s="200"/>
      <c r="F2" s="200"/>
      <c r="G2" s="200"/>
    </row>
    <row r="3" s="183" customFormat="1" ht="21" customHeight="1" spans="1:8">
      <c r="A3" s="438" t="s">
        <v>27</v>
      </c>
      <c r="B3" s="193"/>
      <c r="C3" s="193"/>
      <c r="D3" s="490"/>
    </row>
    <row r="4" s="181" customFormat="1" ht="16.5" spans="1:8">
      <c r="A4" s="218" t="s">
        <v>91</v>
      </c>
      <c r="B4" s="218" t="s">
        <v>170</v>
      </c>
      <c r="C4" s="218" t="s">
        <v>171</v>
      </c>
      <c r="D4" s="218" t="s">
        <v>6</v>
      </c>
    </row>
    <row r="5" s="181" customFormat="1" spans="1:8">
      <c r="A5" s="202" t="s">
        <v>8</v>
      </c>
      <c r="B5" s="202" t="s">
        <v>8</v>
      </c>
      <c r="C5" s="202">
        <v>0.947916666666667</v>
      </c>
      <c r="D5" s="202">
        <v>0.961805555555555</v>
      </c>
      <c r="E5" s="373"/>
      <c r="F5" s="373"/>
      <c r="G5" s="373"/>
      <c r="H5" s="373"/>
    </row>
    <row r="6" s="181" customFormat="1" ht="16.5" spans="1:8">
      <c r="A6" s="203">
        <v>0.972222222222222</v>
      </c>
      <c r="B6" s="203">
        <v>0.986111111111111</v>
      </c>
      <c r="C6" s="203" t="s">
        <v>8</v>
      </c>
      <c r="D6" s="203" t="s">
        <v>8</v>
      </c>
      <c r="E6" s="373"/>
      <c r="F6" s="373"/>
      <c r="G6" s="373"/>
      <c r="H6" s="373"/>
    </row>
    <row r="7" s="182" customFormat="1" ht="18" spans="1:8">
      <c r="C7" s="212"/>
      <c r="D7" s="213"/>
      <c r="E7" s="212"/>
      <c r="F7" s="212"/>
      <c r="G7" s="213"/>
      <c r="H7" s="212"/>
    </row>
    <row r="8" s="184" customFormat="1" ht="17.25" spans="1:8">
      <c r="A8" s="258"/>
      <c r="B8" s="259"/>
      <c r="C8" s="259"/>
      <c r="D8" s="259"/>
      <c r="E8" s="496"/>
    </row>
    <row r="9" spans="1:8">
      <c r="A9" s="260"/>
      <c r="B9" s="260"/>
      <c r="C9" s="261"/>
      <c r="D9" s="262"/>
      <c r="E9" s="262"/>
      <c r="G9" s="186"/>
    </row>
    <row r="10" s="287" customFormat="1" spans="1:8">
      <c r="A10" s="302"/>
      <c r="B10" s="301"/>
      <c r="C10" s="427"/>
      <c r="D10" s="303"/>
      <c r="E10" s="619"/>
      <c r="G10" s="305"/>
    </row>
    <row r="11" spans="1:8">
      <c r="A11" s="269"/>
      <c r="B11" s="270"/>
      <c r="C11" s="271"/>
      <c r="D11" s="272"/>
      <c r="E11" s="272"/>
      <c r="G11" s="186"/>
    </row>
    <row r="12" spans="1:8">
      <c r="A12" s="273"/>
      <c r="B12" s="274"/>
      <c r="C12" s="274"/>
      <c r="D12" s="274"/>
      <c r="E12" s="407"/>
    </row>
    <row r="13" spans="1:8">
      <c r="A13" s="277"/>
      <c r="B13" s="277"/>
      <c r="C13" s="277"/>
      <c r="D13" s="277"/>
      <c r="E13" s="277"/>
    </row>
    <row r="14" ht="17.25" spans="1:8">
      <c r="A14" s="280"/>
      <c r="B14" s="280"/>
      <c r="C14" s="281"/>
      <c r="D14" s="282"/>
      <c r="E14" s="408"/>
    </row>
  </sheetData>
  <mergeCells count="7">
    <mergeCell ref="A1:D1"/>
    <mergeCell ref="A2:D2"/>
    <mergeCell ref="A3:D3"/>
    <mergeCell ref="A8:E8"/>
    <mergeCell ref="A12:E12"/>
    <mergeCell ref="A13:B13"/>
    <mergeCell ref="A14:B14"/>
  </mergeCells>
  <pageMargins left="1.18110236220472" right="0.748031496062992" top="0.196850393700787" bottom="0.196850393700787" header="0.511811023622047" footer="0.511811023622047"/>
  <pageSetup paperSize="9" scale="98" orientation="portrait" horizontalDpi="300" verticalDpi="300"/>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23"/>
  <sheetViews>
    <sheetView showGridLines="0" topLeftCell="A77" workbookViewId="0">
      <selection activeCell="F89" sqref="A82:F90"/>
    </sheetView>
  </sheetViews>
  <sheetFormatPr defaultColWidth="9.14285714285714" defaultRowHeight="15.75"/>
  <cols>
    <col min="1" max="3" width="30.7142857142857" style="186" customWidth="1"/>
    <col min="4" max="4" width="30.7142857142857" style="185" customWidth="1"/>
    <col min="5" max="5" width="32.7142857142857" style="186" customWidth="1"/>
    <col min="6" max="6" width="30.7142857142857" style="186" customWidth="1"/>
    <col min="7" max="7" width="15.7142857142857" style="185" customWidth="1"/>
    <col min="8" max="8" width="15.7142857142857" style="186" customWidth="1"/>
    <col min="9" max="16384" width="9.14285714285714" style="186"/>
  </cols>
  <sheetData>
    <row r="1" s="324" customFormat="1" ht="39.75" customHeight="1" spans="1:8">
      <c r="A1" s="188" t="s">
        <v>172</v>
      </c>
      <c r="B1" s="189"/>
      <c r="C1" s="189"/>
      <c r="D1" s="189"/>
      <c r="E1" s="189"/>
      <c r="F1" s="190"/>
      <c r="H1" s="632"/>
    </row>
    <row r="2" s="324" customFormat="1" ht="96.75" customHeight="1" spans="1:8">
      <c r="A2" s="633" t="s">
        <v>173</v>
      </c>
      <c r="B2" s="634"/>
      <c r="C2" s="634"/>
      <c r="D2" s="634"/>
      <c r="E2" s="634"/>
      <c r="F2" s="635"/>
      <c r="H2" s="632"/>
    </row>
    <row r="3" s="324" customFormat="1" ht="26.1" customHeight="1" spans="1:8">
      <c r="A3" s="438" t="s">
        <v>174</v>
      </c>
      <c r="B3" s="193"/>
      <c r="C3" s="193"/>
      <c r="D3" s="193"/>
      <c r="E3" s="193"/>
      <c r="F3" s="490"/>
      <c r="H3" s="632"/>
    </row>
    <row r="4" s="324" customFormat="1" ht="63.75" spans="1:8">
      <c r="A4" s="218" t="s">
        <v>107</v>
      </c>
      <c r="B4" s="218" t="s">
        <v>175</v>
      </c>
      <c r="C4" s="218" t="s">
        <v>176</v>
      </c>
      <c r="D4" s="218" t="s">
        <v>177</v>
      </c>
      <c r="E4" s="218" t="s">
        <v>175</v>
      </c>
      <c r="F4" s="218" t="s">
        <v>178</v>
      </c>
      <c r="H4" s="632"/>
    </row>
    <row r="5" s="324" customFormat="1" spans="1:8">
      <c r="A5" s="636">
        <v>0.25</v>
      </c>
      <c r="B5" s="636">
        <v>0.256944444444444</v>
      </c>
      <c r="C5" s="636">
        <v>0.260416666666667</v>
      </c>
      <c r="D5" s="636">
        <v>0.263888888888889</v>
      </c>
      <c r="E5" s="636" t="s">
        <v>8</v>
      </c>
      <c r="F5" s="636" t="s">
        <v>8</v>
      </c>
      <c r="G5" s="632"/>
      <c r="H5" s="632"/>
    </row>
    <row r="6" s="324" customFormat="1" spans="1:8">
      <c r="A6" s="637">
        <v>0.28125</v>
      </c>
      <c r="B6" s="637">
        <v>0.291666666666667</v>
      </c>
      <c r="C6" s="637">
        <v>0.295138888888889</v>
      </c>
      <c r="D6" s="638">
        <v>0.298611111111111</v>
      </c>
      <c r="E6" s="637" t="s">
        <v>8</v>
      </c>
      <c r="F6" s="637" t="s">
        <v>8</v>
      </c>
      <c r="G6" s="632"/>
      <c r="H6" s="632"/>
    </row>
    <row r="7" s="324" customFormat="1" spans="1:8">
      <c r="A7" s="637">
        <v>0.315972222222222</v>
      </c>
      <c r="B7" s="637">
        <v>0.326388888888889</v>
      </c>
      <c r="C7" s="637">
        <v>0.329861111111111</v>
      </c>
      <c r="D7" s="638">
        <v>0.333333333333333</v>
      </c>
      <c r="E7" s="637" t="s">
        <v>8</v>
      </c>
      <c r="F7" s="637" t="s">
        <v>8</v>
      </c>
      <c r="G7" s="632"/>
      <c r="H7" s="632"/>
    </row>
    <row r="8" s="324" customFormat="1" spans="1:8">
      <c r="A8" s="637">
        <v>0.350694444444444</v>
      </c>
      <c r="B8" s="637">
        <v>0.361111111111111</v>
      </c>
      <c r="C8" s="637">
        <v>0.364583333333333</v>
      </c>
      <c r="D8" s="638">
        <v>0.368055555555556</v>
      </c>
      <c r="E8" s="637" t="s">
        <v>8</v>
      </c>
      <c r="F8" s="637" t="s">
        <v>8</v>
      </c>
      <c r="G8" s="632"/>
      <c r="H8" s="632"/>
    </row>
    <row r="9" s="324" customFormat="1" spans="1:8">
      <c r="A9" s="639">
        <v>0.388888888888889</v>
      </c>
      <c r="B9" s="637">
        <v>0.399305555555556</v>
      </c>
      <c r="C9" s="637" t="s">
        <v>8</v>
      </c>
      <c r="D9" s="639">
        <v>0.40625</v>
      </c>
      <c r="E9" s="637">
        <v>0.413194444444444</v>
      </c>
      <c r="F9" s="637" t="s">
        <v>8</v>
      </c>
      <c r="G9" s="632"/>
      <c r="H9" s="632"/>
    </row>
    <row r="10" s="324" customFormat="1" spans="1:8">
      <c r="A10" s="639">
        <v>0.427083333333333</v>
      </c>
      <c r="B10" s="639">
        <v>0.4375</v>
      </c>
      <c r="C10" s="637">
        <v>0.440972222222222</v>
      </c>
      <c r="D10" s="638" t="s">
        <v>8</v>
      </c>
      <c r="E10" s="637" t="s">
        <v>8</v>
      </c>
      <c r="F10" s="637" t="s">
        <v>8</v>
      </c>
      <c r="G10" s="632"/>
      <c r="H10" s="632"/>
    </row>
    <row r="11" s="324" customFormat="1" spans="1:8">
      <c r="A11" s="639">
        <v>0.447916666666667</v>
      </c>
      <c r="B11" s="640">
        <v>0.458333333333333</v>
      </c>
      <c r="C11" s="637">
        <v>0.461805555555556</v>
      </c>
      <c r="D11" s="638" t="s">
        <v>8</v>
      </c>
      <c r="E11" s="637" t="s">
        <v>8</v>
      </c>
      <c r="F11" s="637" t="s">
        <v>8</v>
      </c>
      <c r="G11" s="632"/>
      <c r="H11" s="632"/>
    </row>
    <row r="12" s="324" customFormat="1" spans="1:8">
      <c r="A12" s="637">
        <v>0.46875</v>
      </c>
      <c r="B12" s="637">
        <v>0.479166666666667</v>
      </c>
      <c r="C12" s="637">
        <v>0.482638888888889</v>
      </c>
      <c r="D12" s="639">
        <v>0.486111111111111</v>
      </c>
      <c r="E12" s="637" t="s">
        <v>8</v>
      </c>
      <c r="F12" s="637" t="s">
        <v>8</v>
      </c>
      <c r="G12" s="632"/>
      <c r="H12" s="632"/>
    </row>
    <row r="13" s="324" customFormat="1" spans="1:8">
      <c r="A13" s="637">
        <v>0.5</v>
      </c>
      <c r="B13" s="637">
        <v>0.510416666666667</v>
      </c>
      <c r="C13" s="637">
        <v>0.513888888888889</v>
      </c>
      <c r="D13" s="638">
        <v>0.517361111111111</v>
      </c>
      <c r="E13" s="637" t="s">
        <v>8</v>
      </c>
      <c r="F13" s="637" t="s">
        <v>8</v>
      </c>
      <c r="G13" s="632"/>
      <c r="H13" s="632"/>
    </row>
    <row r="14" s="324" customFormat="1" spans="1:8">
      <c r="A14" s="637">
        <v>0.53125</v>
      </c>
      <c r="B14" s="637">
        <v>0.541666666666667</v>
      </c>
      <c r="C14" s="637">
        <v>0.545138888888889</v>
      </c>
      <c r="D14" s="638">
        <v>0.548611111111111</v>
      </c>
      <c r="E14" s="637" t="s">
        <v>8</v>
      </c>
      <c r="F14" s="637" t="s">
        <v>8</v>
      </c>
      <c r="G14" s="632"/>
      <c r="H14" s="632"/>
    </row>
    <row r="15" s="324" customFormat="1" spans="1:8">
      <c r="A15" s="637">
        <v>0.565972222222222</v>
      </c>
      <c r="B15" s="637">
        <v>0.576388888888889</v>
      </c>
      <c r="C15" s="637">
        <v>0.579861111111111</v>
      </c>
      <c r="D15" s="638">
        <v>0.583333333333333</v>
      </c>
      <c r="E15" s="637" t="s">
        <v>8</v>
      </c>
      <c r="F15" s="637" t="s">
        <v>8</v>
      </c>
      <c r="G15" s="632"/>
      <c r="H15" s="632"/>
    </row>
    <row r="16" s="324" customFormat="1" spans="1:8">
      <c r="A16" s="637">
        <v>0.597222222222222</v>
      </c>
      <c r="B16" s="637">
        <v>0.607638888888889</v>
      </c>
      <c r="C16" s="637">
        <v>0.611111111111111</v>
      </c>
      <c r="D16" s="638">
        <v>0.614583333333333</v>
      </c>
      <c r="E16" s="637" t="s">
        <v>8</v>
      </c>
      <c r="F16" s="637" t="s">
        <v>8</v>
      </c>
      <c r="G16" s="632"/>
      <c r="H16" s="632"/>
    </row>
    <row r="17" s="324" customFormat="1" spans="1:8">
      <c r="A17" s="637">
        <v>0.628472222222222</v>
      </c>
      <c r="B17" s="637">
        <v>0.638888888888889</v>
      </c>
      <c r="C17" s="637">
        <v>0.642361111111111</v>
      </c>
      <c r="D17" s="638">
        <v>0.645833333333333</v>
      </c>
      <c r="E17" s="637" t="s">
        <v>8</v>
      </c>
      <c r="F17" s="637" t="s">
        <v>8</v>
      </c>
      <c r="G17" s="632"/>
      <c r="H17" s="632"/>
    </row>
    <row r="18" s="324" customFormat="1" spans="1:8">
      <c r="A18" s="637">
        <v>0.659722222222222</v>
      </c>
      <c r="B18" s="637">
        <v>0.670138888888889</v>
      </c>
      <c r="C18" s="637">
        <v>0.673611111111111</v>
      </c>
      <c r="D18" s="638">
        <v>0.677083333333333</v>
      </c>
      <c r="E18" s="637" t="s">
        <v>8</v>
      </c>
      <c r="F18" s="637" t="s">
        <v>8</v>
      </c>
      <c r="G18" s="632"/>
      <c r="H18" s="632"/>
    </row>
    <row r="19" s="324" customFormat="1" spans="1:8">
      <c r="A19" s="639">
        <v>0.690972222222222</v>
      </c>
      <c r="B19" s="637">
        <v>0.701388888888889</v>
      </c>
      <c r="C19" s="637" t="s">
        <v>8</v>
      </c>
      <c r="D19" s="639">
        <v>0.708333333333333</v>
      </c>
      <c r="E19" s="637">
        <v>0.715277777777778</v>
      </c>
      <c r="F19" s="637" t="s">
        <v>8</v>
      </c>
      <c r="G19" s="632"/>
      <c r="H19" s="632"/>
    </row>
    <row r="20" s="324" customFormat="1" spans="1:8">
      <c r="A20" s="637">
        <v>0.722222222222222</v>
      </c>
      <c r="B20" s="637">
        <v>0.732638888888889</v>
      </c>
      <c r="C20" s="637">
        <v>0.736111111111111</v>
      </c>
      <c r="D20" s="639">
        <v>0.739583333333333</v>
      </c>
      <c r="E20" s="637" t="s">
        <v>8</v>
      </c>
      <c r="F20" s="637" t="s">
        <v>8</v>
      </c>
      <c r="G20" s="632"/>
      <c r="H20" s="632"/>
    </row>
    <row r="21" s="324" customFormat="1" spans="1:8">
      <c r="A21" s="637">
        <v>0.756944444444445</v>
      </c>
      <c r="B21" s="637">
        <v>0.767361111111111</v>
      </c>
      <c r="C21" s="637">
        <v>0.770833333333333</v>
      </c>
      <c r="D21" s="638">
        <v>0.774305555555555</v>
      </c>
      <c r="E21" s="637" t="s">
        <v>8</v>
      </c>
      <c r="F21" s="637" t="s">
        <v>8</v>
      </c>
      <c r="G21" s="632"/>
      <c r="H21" s="632"/>
    </row>
    <row r="22" s="324" customFormat="1" spans="1:8">
      <c r="A22" s="641">
        <v>0.770833333333333</v>
      </c>
      <c r="B22" s="642">
        <v>0.78125</v>
      </c>
      <c r="C22" s="641" t="s">
        <v>8</v>
      </c>
      <c r="D22" s="643">
        <v>0.784722222222222</v>
      </c>
      <c r="E22" s="641" t="s">
        <v>8</v>
      </c>
      <c r="F22" s="641" t="s">
        <v>8</v>
      </c>
      <c r="G22" s="632"/>
      <c r="H22" s="632"/>
    </row>
    <row r="23" s="324" customFormat="1" spans="1:8">
      <c r="A23" s="644">
        <v>0.791666666666667</v>
      </c>
      <c r="B23" s="644"/>
      <c r="C23" s="644"/>
      <c r="D23" s="645"/>
      <c r="E23" s="644"/>
      <c r="F23" s="644"/>
      <c r="G23" s="632"/>
      <c r="H23" s="632"/>
    </row>
    <row r="24" s="324" customFormat="1" spans="1:8">
      <c r="A24" s="641">
        <v>0.798611111111111</v>
      </c>
      <c r="B24" s="641">
        <v>0.8125</v>
      </c>
      <c r="C24" s="641" t="s">
        <v>8</v>
      </c>
      <c r="D24" s="643" t="s">
        <v>8</v>
      </c>
      <c r="E24" s="641" t="s">
        <v>8</v>
      </c>
      <c r="F24" s="641">
        <v>0.819444444444444</v>
      </c>
      <c r="G24" s="632"/>
      <c r="H24" s="632"/>
    </row>
    <row r="25" s="324" customFormat="1" spans="1:8">
      <c r="A25" s="641">
        <v>0.833333333333333</v>
      </c>
      <c r="B25" s="641">
        <v>0.847222222222222</v>
      </c>
      <c r="C25" s="641" t="s">
        <v>8</v>
      </c>
      <c r="D25" s="643" t="s">
        <v>8</v>
      </c>
      <c r="E25" s="641" t="s">
        <v>8</v>
      </c>
      <c r="F25" s="641">
        <v>0.854166666666667</v>
      </c>
      <c r="G25" s="632"/>
      <c r="H25" s="632"/>
    </row>
    <row r="26" s="324" customFormat="1" spans="1:8">
      <c r="A26" s="641">
        <v>0.868055555555556</v>
      </c>
      <c r="B26" s="641">
        <v>0.881944444444444</v>
      </c>
      <c r="C26" s="641" t="s">
        <v>8</v>
      </c>
      <c r="D26" s="643" t="s">
        <v>8</v>
      </c>
      <c r="E26" s="641" t="s">
        <v>8</v>
      </c>
      <c r="F26" s="641">
        <v>0.888888888888889</v>
      </c>
      <c r="G26" s="632"/>
      <c r="H26" s="632"/>
    </row>
    <row r="27" s="324" customFormat="1" spans="1:8">
      <c r="A27" s="641">
        <v>0.902777777777778</v>
      </c>
      <c r="B27" s="642">
        <v>0.923611111111111</v>
      </c>
      <c r="C27" s="641" t="s">
        <v>8</v>
      </c>
      <c r="D27" s="643">
        <v>0.927083333333333</v>
      </c>
      <c r="E27" s="641" t="s">
        <v>8</v>
      </c>
      <c r="F27" s="641" t="s">
        <v>8</v>
      </c>
      <c r="G27" s="632"/>
      <c r="H27" s="632"/>
    </row>
    <row r="28" s="324" customFormat="1" spans="1:8">
      <c r="A28" s="641">
        <v>0.940972222222222</v>
      </c>
      <c r="B28" s="642">
        <v>0.961805555555556</v>
      </c>
      <c r="C28" s="641"/>
      <c r="D28" s="643"/>
      <c r="E28" s="641"/>
      <c r="F28" s="641"/>
      <c r="G28" s="632"/>
      <c r="H28" s="632"/>
    </row>
    <row r="29" s="324" customFormat="1" ht="16.5" spans="1:8">
      <c r="A29" s="646">
        <v>0.975694444444444</v>
      </c>
      <c r="B29" s="646"/>
      <c r="C29" s="646"/>
      <c r="D29" s="647"/>
      <c r="E29" s="646"/>
      <c r="F29" s="646"/>
      <c r="G29" s="632"/>
      <c r="H29" s="632"/>
    </row>
    <row r="30" s="324" customFormat="1" ht="5.1" customHeight="1" spans="1:8">
      <c r="A30" s="648"/>
      <c r="B30" s="648"/>
      <c r="C30" s="648"/>
      <c r="D30" s="648"/>
      <c r="H30" s="632"/>
    </row>
    <row r="31" s="324" customFormat="1" ht="24" customHeight="1" spans="1:8">
      <c r="A31" s="188" t="s">
        <v>179</v>
      </c>
      <c r="B31" s="189"/>
      <c r="C31" s="189"/>
      <c r="D31" s="189"/>
      <c r="E31" s="190"/>
    </row>
    <row r="32" s="324" customFormat="1" ht="29.25" customHeight="1" spans="1:8">
      <c r="A32" s="438" t="s">
        <v>20</v>
      </c>
      <c r="B32" s="193"/>
      <c r="C32" s="193"/>
      <c r="D32" s="193"/>
      <c r="E32" s="490"/>
    </row>
    <row r="33" s="324" customFormat="1" ht="89.25" customHeight="1" spans="1:9">
      <c r="A33" s="294" t="s">
        <v>180</v>
      </c>
      <c r="B33" s="295"/>
      <c r="C33" s="295"/>
      <c r="D33" s="295"/>
      <c r="E33" s="296"/>
    </row>
    <row r="34" s="324" customFormat="1" ht="57.75" customHeight="1" spans="1:9">
      <c r="A34" s="218" t="s">
        <v>175</v>
      </c>
      <c r="B34" s="218" t="s">
        <v>7</v>
      </c>
      <c r="C34" s="218" t="s">
        <v>3</v>
      </c>
      <c r="D34" s="649" t="s">
        <v>181</v>
      </c>
      <c r="E34" s="201" t="s">
        <v>57</v>
      </c>
    </row>
    <row r="35" s="324" customFormat="1" ht="18" customHeight="1" spans="1:9">
      <c r="A35" s="297">
        <v>0.920138888888889</v>
      </c>
      <c r="B35" s="297">
        <v>0.930555555555555</v>
      </c>
      <c r="C35" s="297">
        <v>0.940972222222222</v>
      </c>
      <c r="D35" s="650">
        <v>0.947916666666667</v>
      </c>
      <c r="E35" s="297">
        <v>0.954861111111111</v>
      </c>
      <c r="F35" s="651"/>
    </row>
    <row r="36" s="324" customFormat="1" ht="18" customHeight="1" spans="1:9">
      <c r="A36" s="299">
        <v>0.961805555555555</v>
      </c>
      <c r="B36" s="299">
        <v>0.972222222222222</v>
      </c>
      <c r="C36" s="299">
        <v>0.982638888888889</v>
      </c>
      <c r="D36" s="652">
        <v>0.989583333333333</v>
      </c>
      <c r="E36" s="299">
        <v>0.996527777777778</v>
      </c>
    </row>
    <row r="37" s="324" customFormat="1" ht="5.1" customHeight="1"/>
    <row r="38" s="324" customFormat="1" ht="89.25" customHeight="1" spans="1:9">
      <c r="A38" s="294" t="s">
        <v>182</v>
      </c>
      <c r="B38" s="295"/>
      <c r="C38" s="295"/>
      <c r="D38" s="295"/>
      <c r="E38" s="296"/>
    </row>
    <row r="39" s="324" customFormat="1" ht="66" customHeight="1" spans="1:9">
      <c r="A39" s="218" t="s">
        <v>175</v>
      </c>
      <c r="B39" s="218" t="s">
        <v>177</v>
      </c>
      <c r="C39" s="218" t="s">
        <v>183</v>
      </c>
      <c r="D39" s="649" t="s">
        <v>184</v>
      </c>
      <c r="E39" s="201" t="s">
        <v>107</v>
      </c>
    </row>
    <row r="40" s="324" customFormat="1" ht="18" customHeight="1" spans="1:9">
      <c r="A40" s="297">
        <v>0.920138888888889</v>
      </c>
      <c r="B40" s="297">
        <v>0.927083333333333</v>
      </c>
      <c r="C40" s="297">
        <v>0.9375</v>
      </c>
      <c r="D40" s="650">
        <v>0.947916666666667</v>
      </c>
      <c r="E40" s="297">
        <v>0.954861111111111</v>
      </c>
      <c r="F40" s="651"/>
    </row>
    <row r="41" s="324" customFormat="1" ht="18" customHeight="1" spans="1:9">
      <c r="A41" s="299">
        <v>0.961805555555555</v>
      </c>
      <c r="B41" s="299">
        <v>0.96875</v>
      </c>
      <c r="C41" s="299">
        <v>0.979166666666667</v>
      </c>
      <c r="D41" s="652">
        <v>0.989583333333333</v>
      </c>
      <c r="E41" s="299">
        <v>0.996527777777778</v>
      </c>
    </row>
    <row r="42" s="324" customFormat="1" ht="5.1" customHeight="1"/>
    <row r="43" s="324" customFormat="1" ht="30" customHeight="1" spans="1:9">
      <c r="A43" s="188" t="s">
        <v>185</v>
      </c>
      <c r="B43" s="189"/>
      <c r="C43" s="189"/>
      <c r="D43" s="189"/>
      <c r="E43" s="190"/>
    </row>
    <row r="44" s="324" customFormat="1" ht="21" spans="1:9">
      <c r="A44" s="438" t="s">
        <v>33</v>
      </c>
      <c r="B44" s="193"/>
      <c r="C44" s="193"/>
      <c r="D44" s="193"/>
      <c r="E44" s="490"/>
    </row>
    <row r="45" s="324" customFormat="1" ht="98.25" customHeight="1" spans="1:9">
      <c r="A45" s="294" t="s">
        <v>186</v>
      </c>
      <c r="B45" s="295"/>
      <c r="C45" s="295"/>
      <c r="D45" s="295"/>
      <c r="E45" s="296"/>
    </row>
    <row r="46" s="324" customFormat="1" ht="51" customHeight="1" spans="1:9">
      <c r="A46" s="218" t="s">
        <v>130</v>
      </c>
      <c r="B46" s="218" t="s">
        <v>132</v>
      </c>
      <c r="C46" s="218" t="s">
        <v>28</v>
      </c>
      <c r="D46" s="218" t="s">
        <v>4</v>
      </c>
      <c r="E46" s="218" t="s">
        <v>175</v>
      </c>
    </row>
    <row r="47" s="324" customFormat="1" spans="1:9">
      <c r="A47" s="297">
        <v>0.229166666666667</v>
      </c>
      <c r="B47" s="297">
        <v>0.236111111111111</v>
      </c>
      <c r="C47" s="297">
        <v>0.25</v>
      </c>
      <c r="D47" s="297">
        <v>0.260416666666667</v>
      </c>
      <c r="E47" s="297">
        <v>0.267361111111111</v>
      </c>
      <c r="F47" s="651"/>
      <c r="G47" s="651"/>
      <c r="H47" s="651"/>
      <c r="I47" s="651"/>
    </row>
    <row r="48" s="324" customFormat="1" ht="16.5" spans="1:9">
      <c r="A48" s="299">
        <v>0.246527777777778</v>
      </c>
      <c r="B48" s="299">
        <v>0.253472222222222</v>
      </c>
      <c r="C48" s="299">
        <v>0.267361111111111</v>
      </c>
      <c r="D48" s="299">
        <v>0.277777777777778</v>
      </c>
      <c r="E48" s="299">
        <v>0.284722222222222</v>
      </c>
      <c r="F48" s="651"/>
      <c r="G48" s="651"/>
      <c r="H48" s="651"/>
      <c r="I48" s="651"/>
    </row>
    <row r="49" s="324" customFormat="1" ht="5.1" customHeight="1" spans="1:9">
      <c r="A49" s="653"/>
      <c r="B49" s="653"/>
      <c r="C49" s="653"/>
      <c r="D49" s="653"/>
      <c r="E49" s="653"/>
      <c r="F49" s="651"/>
      <c r="G49" s="651"/>
      <c r="H49" s="651"/>
      <c r="I49" s="651"/>
    </row>
    <row r="50" s="324" customFormat="1" ht="89.25" customHeight="1" spans="1:9">
      <c r="A50" s="294" t="s">
        <v>180</v>
      </c>
      <c r="B50" s="295"/>
      <c r="C50" s="295"/>
      <c r="D50" s="295"/>
      <c r="E50" s="296"/>
    </row>
    <row r="51" s="324" customFormat="1" ht="57.75" customHeight="1" spans="1:9">
      <c r="A51" s="218" t="s">
        <v>175</v>
      </c>
      <c r="B51" s="218" t="s">
        <v>7</v>
      </c>
      <c r="C51" s="218" t="s">
        <v>3</v>
      </c>
      <c r="D51" s="649" t="s">
        <v>181</v>
      </c>
      <c r="E51" s="201" t="s">
        <v>57</v>
      </c>
    </row>
    <row r="52" s="324" customFormat="1" ht="18" customHeight="1" spans="1:9">
      <c r="A52" s="297">
        <v>0.878472222222222</v>
      </c>
      <c r="B52" s="297">
        <v>0.888888888888889</v>
      </c>
      <c r="C52" s="297">
        <v>0.899305555555555</v>
      </c>
      <c r="D52" s="650">
        <v>0.90625</v>
      </c>
      <c r="E52" s="297">
        <v>0.913194444444445</v>
      </c>
      <c r="F52" s="651"/>
    </row>
    <row r="53" s="324" customFormat="1" ht="18" customHeight="1" spans="1:9">
      <c r="A53" s="654">
        <v>0.920138888888889</v>
      </c>
      <c r="B53" s="654">
        <v>0.930555555555555</v>
      </c>
      <c r="C53" s="654">
        <v>0.940972222222222</v>
      </c>
      <c r="D53" s="655">
        <v>0.947916666666667</v>
      </c>
      <c r="E53" s="654">
        <v>0.954861111111111</v>
      </c>
      <c r="F53" s="651"/>
    </row>
    <row r="54" s="324" customFormat="1" ht="18" customHeight="1" spans="1:9">
      <c r="A54" s="299">
        <v>0.961805555555555</v>
      </c>
      <c r="B54" s="299">
        <v>0.972222222222222</v>
      </c>
      <c r="C54" s="299">
        <v>0.982638888888889</v>
      </c>
      <c r="D54" s="652">
        <v>0.989583333333333</v>
      </c>
      <c r="E54" s="299">
        <v>0.996527777777778</v>
      </c>
    </row>
    <row r="55" s="324" customFormat="1" ht="5.1" customHeight="1"/>
    <row r="56" s="324" customFormat="1" ht="89.25" customHeight="1" spans="1:9">
      <c r="A56" s="294" t="s">
        <v>187</v>
      </c>
      <c r="B56" s="295"/>
      <c r="C56" s="295"/>
      <c r="D56" s="295"/>
      <c r="E56" s="296"/>
    </row>
    <row r="57" s="324" customFormat="1" ht="66" customHeight="1" spans="1:9">
      <c r="A57" s="218" t="s">
        <v>175</v>
      </c>
      <c r="B57" s="218" t="s">
        <v>177</v>
      </c>
      <c r="C57" s="218" t="s">
        <v>183</v>
      </c>
      <c r="D57" s="649" t="s">
        <v>184</v>
      </c>
      <c r="E57" s="201" t="s">
        <v>107</v>
      </c>
    </row>
    <row r="58" s="324" customFormat="1" spans="1:9">
      <c r="A58" s="656">
        <v>0.878472222222222</v>
      </c>
      <c r="B58" s="656">
        <v>0.885416666666667</v>
      </c>
      <c r="C58" s="656">
        <v>0.895833333333333</v>
      </c>
      <c r="D58" s="292">
        <v>0.90625</v>
      </c>
      <c r="E58" s="656">
        <v>0.913194444444445</v>
      </c>
    </row>
    <row r="59" s="324" customFormat="1" ht="18" customHeight="1" spans="1:9">
      <c r="A59" s="654">
        <v>0.920138888888889</v>
      </c>
      <c r="B59" s="654">
        <v>0.927083333333333</v>
      </c>
      <c r="C59" s="654">
        <v>0.9375</v>
      </c>
      <c r="D59" s="655">
        <v>0.947916666666667</v>
      </c>
      <c r="E59" s="654">
        <v>0.954861111111111</v>
      </c>
      <c r="F59" s="651"/>
    </row>
    <row r="60" s="324" customFormat="1" ht="18" customHeight="1" spans="1:9">
      <c r="A60" s="299">
        <v>0.961805555555555</v>
      </c>
      <c r="B60" s="299">
        <v>0.96875</v>
      </c>
      <c r="C60" s="299">
        <v>0.979166666666667</v>
      </c>
      <c r="D60" s="652">
        <v>0.989583333333333</v>
      </c>
      <c r="E60" s="299">
        <v>0.996527777777778</v>
      </c>
    </row>
    <row r="61" s="324" customFormat="1" ht="5.1" customHeight="1" spans="1:9">
      <c r="A61" s="648"/>
      <c r="B61" s="648"/>
      <c r="C61" s="648"/>
      <c r="D61" s="648"/>
      <c r="H61" s="632"/>
    </row>
    <row r="62" s="324" customFormat="1" ht="27.75" customHeight="1" spans="1:9">
      <c r="A62" s="657" t="s">
        <v>15</v>
      </c>
      <c r="B62" s="658"/>
      <c r="C62" s="658"/>
      <c r="D62" s="658"/>
      <c r="E62" s="659"/>
      <c r="H62" s="632"/>
    </row>
    <row r="63" s="324" customFormat="1" ht="5.1" customHeight="1" spans="1:9">
      <c r="A63" s="648"/>
      <c r="B63" s="648"/>
      <c r="C63" s="648"/>
      <c r="D63" s="648"/>
      <c r="H63" s="632"/>
    </row>
    <row r="64" customFormat="1" ht="30" customHeight="1" spans="1:9">
      <c r="A64" s="660" t="s">
        <v>188</v>
      </c>
      <c r="B64" s="661"/>
      <c r="C64" s="661"/>
      <c r="D64" s="661"/>
      <c r="E64" s="662"/>
      <c r="H64" s="632"/>
    </row>
    <row r="65" customFormat="1" ht="67.5" customHeight="1" spans="1:8">
      <c r="A65" s="663" t="s">
        <v>189</v>
      </c>
      <c r="B65" s="664"/>
      <c r="C65" s="664"/>
      <c r="D65" s="664"/>
      <c r="E65" s="665"/>
      <c r="H65" s="632"/>
    </row>
    <row r="66" customFormat="1" ht="67.5" customHeight="1" spans="1:8">
      <c r="A66" s="663" t="s">
        <v>190</v>
      </c>
      <c r="B66" s="664"/>
      <c r="C66" s="664"/>
      <c r="D66" s="664"/>
      <c r="E66" s="665"/>
      <c r="H66" s="632"/>
    </row>
    <row r="67" customFormat="1" ht="67.5" customHeight="1" spans="1:8">
      <c r="A67" s="663" t="s">
        <v>191</v>
      </c>
      <c r="B67" s="664"/>
      <c r="C67" s="664"/>
      <c r="D67" s="664"/>
      <c r="E67" s="665"/>
      <c r="H67" s="632"/>
    </row>
    <row r="68" customFormat="1" ht="77.25" customHeight="1" spans="1:8">
      <c r="A68" s="663" t="s">
        <v>192</v>
      </c>
      <c r="B68" s="664"/>
      <c r="C68" s="664"/>
      <c r="D68" s="664"/>
      <c r="E68" s="665"/>
      <c r="H68" s="632"/>
    </row>
    <row r="69" customFormat="1" ht="66.75" customHeight="1" spans="1:8">
      <c r="A69" s="666" t="s">
        <v>193</v>
      </c>
      <c r="B69" s="667"/>
      <c r="C69" s="667"/>
      <c r="D69" s="667"/>
      <c r="E69" s="668"/>
      <c r="H69" s="632"/>
    </row>
    <row r="70" s="324" customFormat="1" ht="62.25" customHeight="1" spans="1:8">
      <c r="A70" s="669" t="s">
        <v>194</v>
      </c>
      <c r="B70" s="670"/>
      <c r="C70" s="670"/>
      <c r="D70" s="670"/>
      <c r="E70" s="671"/>
    </row>
    <row r="71" s="324" customFormat="1" ht="39.75" customHeight="1" spans="1:8">
      <c r="A71" s="663" t="s">
        <v>195</v>
      </c>
      <c r="B71" s="664"/>
      <c r="C71" s="664"/>
      <c r="D71" s="664"/>
      <c r="E71" s="665"/>
    </row>
    <row r="72" s="324" customFormat="1" ht="59.25" customHeight="1" spans="1:8">
      <c r="A72" s="666" t="s">
        <v>196</v>
      </c>
      <c r="B72" s="667"/>
      <c r="C72" s="667"/>
      <c r="D72" s="667"/>
      <c r="E72" s="668"/>
    </row>
    <row r="73" s="324" customFormat="1" ht="5.1" customHeight="1" spans="1:8">
      <c r="A73" s="648"/>
      <c r="B73" s="648"/>
      <c r="C73" s="648"/>
      <c r="D73" s="648"/>
      <c r="H73" s="632"/>
    </row>
    <row r="74" customFormat="1" ht="30" customHeight="1" spans="1:8">
      <c r="A74" s="660" t="s">
        <v>20</v>
      </c>
      <c r="B74" s="661"/>
      <c r="C74" s="661"/>
      <c r="D74" s="661"/>
      <c r="E74" s="662"/>
      <c r="H74" s="632"/>
    </row>
    <row r="75" customFormat="1" ht="24.95" customHeight="1" spans="1:8">
      <c r="A75" s="666" t="s">
        <v>197</v>
      </c>
      <c r="B75" s="667"/>
      <c r="C75" s="667"/>
      <c r="D75" s="667"/>
      <c r="E75" s="668"/>
      <c r="H75" s="632"/>
    </row>
    <row r="76" s="182" customFormat="1" ht="24" customHeight="1" spans="1:8">
      <c r="A76" s="660" t="s">
        <v>33</v>
      </c>
      <c r="B76" s="661"/>
      <c r="C76" s="661"/>
      <c r="D76" s="661"/>
      <c r="E76" s="662"/>
      <c r="F76" s="212"/>
      <c r="G76" s="213"/>
      <c r="H76" s="212"/>
    </row>
    <row r="77" s="631" customFormat="1" ht="42" customHeight="1" spans="1:8">
      <c r="A77" s="666" t="s">
        <v>198</v>
      </c>
      <c r="B77" s="667"/>
      <c r="C77" s="667"/>
      <c r="D77" s="667"/>
      <c r="E77" s="668"/>
      <c r="F77" s="672" t="s">
        <v>199</v>
      </c>
      <c r="G77" s="673"/>
      <c r="H77" s="674"/>
    </row>
    <row r="78" s="631" customFormat="1" ht="17.1" customHeight="1" spans="1:8">
      <c r="A78" s="675"/>
      <c r="C78" s="674"/>
      <c r="D78" s="673"/>
      <c r="E78" s="674"/>
      <c r="F78" s="674"/>
      <c r="G78" s="673"/>
      <c r="H78" s="674"/>
    </row>
    <row r="79" s="182" customFormat="1" ht="17.1" customHeight="1" spans="1:8">
      <c r="A79" s="676" t="s">
        <v>13</v>
      </c>
      <c r="C79" s="212"/>
      <c r="D79" s="213"/>
      <c r="E79" s="212"/>
      <c r="F79" s="212"/>
      <c r="G79" s="213"/>
      <c r="H79" s="212"/>
    </row>
    <row r="80" s="182" customFormat="1" ht="17.1" customHeight="1" spans="1:8">
      <c r="A80" s="677" t="s">
        <v>14</v>
      </c>
      <c r="C80" s="212"/>
      <c r="D80" s="213"/>
      <c r="E80" s="212"/>
      <c r="F80" s="212"/>
      <c r="G80" s="213"/>
      <c r="H80" s="212"/>
    </row>
    <row r="81" s="182" customFormat="1" ht="5.1" customHeight="1" spans="1:8">
      <c r="C81" s="212"/>
      <c r="D81" s="213"/>
      <c r="E81" s="212"/>
      <c r="F81" s="212"/>
      <c r="G81" s="213"/>
      <c r="H81" s="212"/>
    </row>
    <row r="82" s="184" customFormat="1" ht="30" customHeight="1" spans="1:8">
      <c r="A82" s="258"/>
      <c r="B82" s="259"/>
      <c r="C82" s="259"/>
      <c r="D82" s="259"/>
      <c r="E82" s="496"/>
    </row>
    <row r="83" s="186" customFormat="1" ht="24.95" customHeight="1" spans="1:8">
      <c r="A83" s="260"/>
      <c r="B83" s="260"/>
      <c r="C83" s="261"/>
      <c r="D83" s="262"/>
      <c r="E83" s="262"/>
    </row>
    <row r="84" s="186" customFormat="1" ht="37.5" customHeight="1" spans="1:8">
      <c r="A84" s="328"/>
      <c r="B84" s="265"/>
      <c r="C84" s="266"/>
      <c r="D84" s="267"/>
      <c r="E84" s="268"/>
      <c r="F84" s="502"/>
      <c r="G84" s="263"/>
    </row>
    <row r="85" s="186" customFormat="1" ht="42" customHeight="1" spans="1:8">
      <c r="A85" s="330"/>
      <c r="B85" s="265"/>
      <c r="C85" s="266"/>
      <c r="D85" s="267"/>
      <c r="E85" s="268"/>
      <c r="G85" s="329"/>
    </row>
    <row r="86" s="186" customFormat="1" ht="38.25" customHeight="1" spans="1:8">
      <c r="A86" s="330"/>
      <c r="B86" s="265"/>
      <c r="C86" s="266"/>
      <c r="D86" s="267"/>
      <c r="E86" s="268"/>
      <c r="G86" s="329"/>
    </row>
    <row r="87" s="186" customFormat="1" ht="40.5" customHeight="1" spans="1:8">
      <c r="A87" s="330"/>
      <c r="B87" s="265"/>
      <c r="C87" s="266"/>
      <c r="D87" s="267"/>
      <c r="E87" s="268"/>
      <c r="G87" s="329"/>
    </row>
    <row r="88" s="186" customFormat="1" ht="35.25" customHeight="1" spans="1:8">
      <c r="A88" s="330"/>
      <c r="B88" s="265"/>
      <c r="C88" s="266"/>
      <c r="D88" s="267"/>
      <c r="E88" s="268"/>
      <c r="G88" s="678"/>
    </row>
    <row r="89" s="186" customFormat="1" ht="35.25" customHeight="1" spans="1:8">
      <c r="A89" s="330"/>
      <c r="B89" s="265"/>
      <c r="C89" s="266"/>
      <c r="D89" s="267"/>
      <c r="E89" s="268"/>
      <c r="G89" s="678"/>
    </row>
    <row r="90" s="186" customFormat="1" ht="35.25" customHeight="1" spans="1:8">
      <c r="A90" s="331"/>
      <c r="B90" s="265"/>
      <c r="C90" s="266"/>
      <c r="D90" s="267"/>
      <c r="E90" s="268"/>
      <c r="G90" s="678"/>
    </row>
    <row r="91" s="186" customFormat="1" ht="35.25" customHeight="1" spans="1:8">
      <c r="A91" s="679"/>
      <c r="B91" s="346"/>
      <c r="C91" s="347"/>
      <c r="D91" s="348"/>
      <c r="E91" s="349"/>
      <c r="F91" s="680"/>
      <c r="G91" s="678"/>
    </row>
    <row r="92" s="186" customFormat="1" ht="35.25" customHeight="1" spans="1:8">
      <c r="A92" s="679"/>
      <c r="B92" s="346"/>
      <c r="C92" s="347"/>
      <c r="D92" s="348"/>
      <c r="E92" s="349"/>
      <c r="G92" s="678"/>
    </row>
    <row r="93" s="186" customFormat="1" ht="35.25" customHeight="1" spans="1:8">
      <c r="A93" s="679"/>
      <c r="B93" s="346"/>
      <c r="C93" s="347"/>
      <c r="D93" s="348"/>
      <c r="E93" s="349"/>
      <c r="G93" s="678"/>
    </row>
    <row r="94" s="186" customFormat="1" ht="35.25" customHeight="1" spans="1:8">
      <c r="A94" s="679"/>
      <c r="B94" s="346"/>
      <c r="C94" s="347"/>
      <c r="D94" s="348"/>
      <c r="E94" s="349"/>
      <c r="G94" s="678"/>
    </row>
    <row r="95" s="186" customFormat="1" ht="35.25" customHeight="1" spans="1:8">
      <c r="A95" s="681"/>
      <c r="B95" s="346"/>
      <c r="C95" s="347"/>
      <c r="D95" s="348"/>
      <c r="E95" s="349"/>
      <c r="G95" s="678"/>
    </row>
    <row r="96" s="186" customFormat="1" ht="30" customHeight="1" spans="1:8">
      <c r="A96" s="328"/>
      <c r="B96" s="498"/>
      <c r="C96" s="266"/>
      <c r="D96" s="267"/>
      <c r="E96" s="268"/>
    </row>
    <row r="97" s="186" customFormat="1" ht="30" customHeight="1" spans="1:8">
      <c r="A97" s="330"/>
      <c r="B97" s="498"/>
      <c r="C97" s="266"/>
      <c r="D97" s="267"/>
      <c r="E97" s="268"/>
    </row>
    <row r="98" s="186" customFormat="1" ht="30" customHeight="1" spans="1:8">
      <c r="A98" s="330"/>
      <c r="B98" s="498"/>
      <c r="C98" s="266"/>
      <c r="D98" s="267"/>
      <c r="E98" s="268"/>
    </row>
    <row r="99" s="186" customFormat="1" ht="30" customHeight="1" spans="1:8">
      <c r="A99" s="330"/>
      <c r="B99" s="498"/>
      <c r="C99" s="266"/>
      <c r="D99" s="267"/>
      <c r="E99" s="268"/>
    </row>
    <row r="100" s="186" customFormat="1" ht="30" customHeight="1" spans="1:8">
      <c r="A100" s="330"/>
      <c r="B100" s="265"/>
      <c r="C100" s="266"/>
      <c r="D100" s="267"/>
      <c r="E100" s="268"/>
      <c r="H100" s="682"/>
    </row>
    <row r="101" s="186" customFormat="1" ht="30" customHeight="1" spans="1:8">
      <c r="A101" s="330"/>
      <c r="B101" s="265"/>
      <c r="C101" s="266"/>
      <c r="D101" s="267"/>
      <c r="E101" s="268"/>
      <c r="H101" s="682"/>
    </row>
    <row r="102" s="186" customFormat="1" spans="1:8">
      <c r="A102" s="330"/>
      <c r="B102" s="498"/>
      <c r="C102" s="266"/>
      <c r="D102" s="267"/>
      <c r="E102" s="268"/>
      <c r="H102" s="682"/>
    </row>
    <row r="103" s="186" customFormat="1" ht="53.25" customHeight="1" spans="1:8">
      <c r="A103" s="330"/>
      <c r="B103" s="265"/>
      <c r="C103" s="266"/>
      <c r="D103" s="267"/>
      <c r="E103" s="268"/>
      <c r="G103" s="329"/>
    </row>
    <row r="104" s="186" customFormat="1" ht="41.25" customHeight="1" spans="1:8">
      <c r="A104" s="330"/>
      <c r="B104" s="265"/>
      <c r="C104" s="266"/>
      <c r="D104" s="267"/>
      <c r="E104" s="268"/>
      <c r="G104" s="329"/>
    </row>
    <row r="105" s="186" customFormat="1" ht="41.25" customHeight="1" spans="1:8">
      <c r="A105" s="330"/>
      <c r="B105" s="265"/>
      <c r="C105" s="266"/>
      <c r="D105" s="267"/>
      <c r="E105" s="268"/>
      <c r="G105" s="329"/>
    </row>
    <row r="106" s="186" customFormat="1" ht="50.25" customHeight="1" spans="1:8">
      <c r="A106" s="330"/>
      <c r="B106" s="265"/>
      <c r="C106" s="266"/>
      <c r="D106" s="267"/>
      <c r="E106" s="268"/>
      <c r="G106" s="329"/>
    </row>
    <row r="107" s="186" customFormat="1" ht="41.25" customHeight="1" spans="1:8">
      <c r="A107" s="330"/>
      <c r="B107" s="265"/>
      <c r="C107" s="266"/>
      <c r="D107" s="267"/>
      <c r="E107" s="268"/>
      <c r="G107" s="329"/>
    </row>
    <row r="108" s="186" customFormat="1" ht="41.25" customHeight="1" spans="1:8">
      <c r="A108" s="331"/>
      <c r="B108" s="265"/>
      <c r="C108" s="266"/>
      <c r="D108" s="267"/>
      <c r="E108" s="268"/>
      <c r="G108" s="329"/>
    </row>
    <row r="109" s="186" customFormat="1" ht="59.25" customHeight="1" spans="1:8">
      <c r="A109" s="683"/>
      <c r="B109" s="684"/>
      <c r="C109" s="347"/>
      <c r="D109" s="348"/>
      <c r="E109" s="349"/>
    </row>
    <row r="110" s="186" customFormat="1" ht="71.1" customHeight="1" spans="1:8">
      <c r="A110" s="683"/>
      <c r="B110" s="684"/>
      <c r="C110" s="347"/>
      <c r="D110" s="348"/>
      <c r="E110" s="349"/>
    </row>
    <row r="111" s="186" customFormat="1" ht="59.25" customHeight="1" spans="1:8">
      <c r="A111" s="683"/>
      <c r="B111" s="684"/>
      <c r="C111" s="347"/>
      <c r="D111" s="348"/>
      <c r="E111" s="349"/>
    </row>
    <row r="112" s="186" customFormat="1" ht="59.25" customHeight="1" spans="1:8">
      <c r="A112" s="683"/>
      <c r="B112" s="684"/>
      <c r="C112" s="347"/>
      <c r="D112" s="348"/>
      <c r="E112" s="349"/>
    </row>
    <row r="113" s="186" customFormat="1" ht="59.25" customHeight="1" spans="1:9">
      <c r="A113" s="683"/>
      <c r="B113" s="684"/>
      <c r="C113" s="347"/>
      <c r="D113" s="348"/>
      <c r="E113" s="349"/>
    </row>
    <row r="114" s="186" customFormat="1" ht="59.25" customHeight="1" spans="1:9">
      <c r="A114" s="683"/>
      <c r="B114" s="684"/>
      <c r="C114" s="347"/>
      <c r="D114" s="348"/>
      <c r="E114" s="349"/>
    </row>
    <row r="115" s="186" customFormat="1" ht="59.25" customHeight="1" spans="1:9">
      <c r="A115" s="683"/>
      <c r="B115" s="684"/>
      <c r="C115" s="347"/>
      <c r="D115" s="348"/>
      <c r="E115" s="349"/>
    </row>
    <row r="116" s="186" customFormat="1" ht="59.25" customHeight="1" spans="1:9">
      <c r="A116" s="683"/>
      <c r="B116" s="684"/>
      <c r="C116" s="347"/>
      <c r="D116" s="348"/>
      <c r="E116" s="349"/>
      <c r="I116" s="682"/>
    </row>
    <row r="117" s="186" customFormat="1" ht="24.95" customHeight="1" spans="1:9">
      <c r="A117" s="273"/>
      <c r="B117" s="274"/>
      <c r="C117" s="274"/>
      <c r="D117" s="274"/>
      <c r="E117" s="407"/>
      <c r="G117" s="185"/>
      <c r="I117" s="682"/>
    </row>
    <row r="118" s="186" customFormat="1" ht="24.95" customHeight="1" spans="1:9">
      <c r="A118" s="277"/>
      <c r="B118" s="277"/>
      <c r="C118" s="277"/>
      <c r="D118" s="277"/>
      <c r="E118" s="606"/>
      <c r="G118" s="185"/>
      <c r="I118" s="682"/>
    </row>
    <row r="119" s="186" customFormat="1" ht="20.1" customHeight="1" spans="1:9">
      <c r="A119" s="280"/>
      <c r="B119" s="280"/>
      <c r="C119" s="281"/>
      <c r="D119" s="685"/>
      <c r="E119" s="686"/>
      <c r="G119" s="185"/>
    </row>
    <row r="120" s="186" customFormat="1" ht="20.1" customHeight="1" spans="1:9">
      <c r="A120" s="280"/>
      <c r="B120" s="280"/>
      <c r="C120" s="281"/>
      <c r="D120" s="282"/>
      <c r="E120" s="505"/>
      <c r="G120" s="185"/>
    </row>
    <row r="121" s="186" customFormat="1" ht="17.25" spans="1:9">
      <c r="A121" s="280"/>
      <c r="B121" s="280"/>
      <c r="C121" s="281"/>
      <c r="D121" s="282"/>
      <c r="E121" s="408"/>
      <c r="G121" s="185"/>
    </row>
    <row r="122" s="186" customFormat="1" spans="1:9">
      <c r="D122" s="185"/>
      <c r="G122" s="185"/>
    </row>
    <row r="123" s="186" customFormat="1" spans="1:9">
      <c r="D123" s="185"/>
      <c r="G123" s="185"/>
    </row>
  </sheetData>
  <mergeCells count="36">
    <mergeCell ref="A1:F1"/>
    <mergeCell ref="A2:F2"/>
    <mergeCell ref="A3:F3"/>
    <mergeCell ref="A31:E31"/>
    <mergeCell ref="A32:E32"/>
    <mergeCell ref="A33:E33"/>
    <mergeCell ref="A38:E38"/>
    <mergeCell ref="A43:E43"/>
    <mergeCell ref="A44:E44"/>
    <mergeCell ref="A45:E45"/>
    <mergeCell ref="A50:E50"/>
    <mergeCell ref="A56:E56"/>
    <mergeCell ref="A62:E62"/>
    <mergeCell ref="A64:E64"/>
    <mergeCell ref="A65:E65"/>
    <mergeCell ref="A66:E66"/>
    <mergeCell ref="A67:E67"/>
    <mergeCell ref="A68:E68"/>
    <mergeCell ref="A69:E69"/>
    <mergeCell ref="A70:E70"/>
    <mergeCell ref="A71:E71"/>
    <mergeCell ref="A72:E72"/>
    <mergeCell ref="A74:E74"/>
    <mergeCell ref="A75:E75"/>
    <mergeCell ref="A76:E76"/>
    <mergeCell ref="A77:E77"/>
    <mergeCell ref="A82:E82"/>
    <mergeCell ref="A117:E117"/>
    <mergeCell ref="A118:B118"/>
    <mergeCell ref="A119:B119"/>
    <mergeCell ref="A120:B120"/>
    <mergeCell ref="A121:B121"/>
    <mergeCell ref="A84:A90"/>
    <mergeCell ref="A91:A95"/>
    <mergeCell ref="A96:A108"/>
    <mergeCell ref="A109:A116"/>
  </mergeCells>
  <pageMargins left="1.18110236220472" right="0.748031496062992" top="0.196850393700787" bottom="0.196850393700787" header="0.511811023622047" footer="0.511811023622047"/>
  <pageSetup paperSize="9" scale="19" orientation="portrait" horizontalDpi="300" verticalDpi="300"/>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7"/>
  <sheetViews>
    <sheetView topLeftCell="A25" workbookViewId="0">
      <selection activeCell="G39" sqref="A33:G39"/>
    </sheetView>
  </sheetViews>
  <sheetFormatPr defaultColWidth="9.14285714285714" defaultRowHeight="15.75" outlineLevelCol="7"/>
  <cols>
    <col min="1" max="3" width="30.7142857142857" style="186" customWidth="1"/>
    <col min="4" max="4" width="30.7142857142857" style="185" customWidth="1"/>
    <col min="5" max="5" width="25.7142857142857" style="186" customWidth="1"/>
    <col min="6" max="6" width="17.7142857142857" style="186" customWidth="1"/>
    <col min="7" max="7" width="15.7142857142857" style="185" customWidth="1"/>
    <col min="8" max="8" width="15.7142857142857" style="186" customWidth="1"/>
    <col min="9" max="16384" width="9.14285714285714" style="186"/>
  </cols>
  <sheetData>
    <row r="1" ht="38.25" customHeight="1" spans="1:7">
      <c r="A1" s="188" t="s">
        <v>200</v>
      </c>
      <c r="B1" s="189"/>
      <c r="C1" s="189"/>
      <c r="D1" s="190"/>
      <c r="G1" s="186"/>
    </row>
    <row r="2" ht="110.25" customHeight="1" spans="1:7">
      <c r="A2" s="402" t="s">
        <v>201</v>
      </c>
      <c r="B2" s="403"/>
      <c r="C2" s="403"/>
      <c r="D2" s="404"/>
      <c r="G2" s="186"/>
    </row>
    <row r="3" ht="21.95" customHeight="1" spans="1:7">
      <c r="A3" s="438" t="s">
        <v>27</v>
      </c>
      <c r="B3" s="193"/>
      <c r="C3" s="193"/>
      <c r="D3" s="490"/>
      <c r="G3" s="186"/>
    </row>
    <row r="4" ht="33.75" customHeight="1" spans="1:7">
      <c r="A4" s="620" t="s">
        <v>202</v>
      </c>
      <c r="B4" s="620" t="s">
        <v>203</v>
      </c>
      <c r="C4" s="620" t="s">
        <v>3</v>
      </c>
      <c r="D4" s="620" t="s">
        <v>204</v>
      </c>
      <c r="G4" s="186"/>
    </row>
    <row r="5" spans="1:7">
      <c r="A5" s="420" t="s">
        <v>8</v>
      </c>
      <c r="B5" s="420" t="s">
        <v>8</v>
      </c>
      <c r="C5" s="420" t="s">
        <v>8</v>
      </c>
      <c r="D5" s="420">
        <v>0.00347222222222222</v>
      </c>
      <c r="G5" s="186"/>
    </row>
    <row r="6" spans="1:7">
      <c r="A6" s="420">
        <v>0.00694444444444444</v>
      </c>
      <c r="B6" s="420">
        <v>0.0173611111111111</v>
      </c>
      <c r="C6" s="420">
        <v>0.0347222222222222</v>
      </c>
      <c r="D6" s="420" t="s">
        <v>8</v>
      </c>
      <c r="G6" s="186"/>
    </row>
    <row r="7" spans="1:7">
      <c r="A7" s="420">
        <v>0.0763888888888889</v>
      </c>
      <c r="B7" s="420">
        <v>0.0902777777777778</v>
      </c>
      <c r="C7" s="420">
        <v>0.111111111111111</v>
      </c>
      <c r="D7" s="420" t="s">
        <v>8</v>
      </c>
      <c r="G7" s="186"/>
    </row>
    <row r="8" spans="1:7">
      <c r="A8" s="420">
        <v>0.597222222222222</v>
      </c>
      <c r="B8" s="420">
        <v>0.611111111111111</v>
      </c>
      <c r="C8" s="420">
        <v>0.621527777777778</v>
      </c>
      <c r="D8" s="420">
        <v>0.631944444444444</v>
      </c>
      <c r="G8" s="186"/>
    </row>
    <row r="9" spans="1:7">
      <c r="A9" s="621">
        <v>0.666666666666667</v>
      </c>
      <c r="B9" s="621">
        <v>0.680555555555556</v>
      </c>
      <c r="C9" s="621">
        <v>0.701388888888889</v>
      </c>
      <c r="D9" s="420">
        <v>0.715277777777778</v>
      </c>
      <c r="G9" s="186"/>
    </row>
    <row r="10" ht="5.1" customHeight="1" spans="1:7">
      <c r="A10" s="622"/>
      <c r="B10" s="622"/>
      <c r="C10" s="622"/>
      <c r="D10" s="287"/>
      <c r="G10" s="186"/>
    </row>
    <row r="11" ht="109.5" customHeight="1" spans="1:7">
      <c r="A11" s="623" t="s">
        <v>205</v>
      </c>
      <c r="B11" s="624"/>
      <c r="C11" s="624"/>
      <c r="D11" s="625"/>
      <c r="G11" s="186"/>
    </row>
    <row r="12" ht="23.85" customHeight="1" spans="1:7">
      <c r="A12" s="626" t="s">
        <v>27</v>
      </c>
      <c r="B12" s="627"/>
      <c r="C12" s="627"/>
      <c r="D12" s="628"/>
      <c r="G12" s="186"/>
    </row>
    <row r="13" ht="32.1" customHeight="1" spans="1:7">
      <c r="A13" s="588" t="s">
        <v>3</v>
      </c>
      <c r="B13" s="588" t="s">
        <v>206</v>
      </c>
      <c r="C13" s="588" t="s">
        <v>202</v>
      </c>
      <c r="D13" s="588" t="s">
        <v>206</v>
      </c>
      <c r="G13" s="186"/>
    </row>
    <row r="14" spans="1:7">
      <c r="A14" s="418">
        <v>0.114583333333333</v>
      </c>
      <c r="B14" s="413">
        <v>0.128472222222222</v>
      </c>
      <c r="C14" s="413">
        <v>0.145833333333333</v>
      </c>
      <c r="D14" s="414" t="s">
        <v>8</v>
      </c>
      <c r="G14" s="186"/>
    </row>
    <row r="15" spans="1:7">
      <c r="A15" s="419">
        <v>0.180555555555556</v>
      </c>
      <c r="B15" s="420">
        <v>0.197916666666667</v>
      </c>
      <c r="C15" s="420">
        <v>0.222222222222222</v>
      </c>
      <c r="D15" s="421" t="s">
        <v>8</v>
      </c>
      <c r="G15" s="186"/>
    </row>
    <row r="16" spans="1:7">
      <c r="A16" s="419" t="s">
        <v>8</v>
      </c>
      <c r="B16" s="420" t="s">
        <v>8</v>
      </c>
      <c r="C16" s="420" t="s">
        <v>8</v>
      </c>
      <c r="D16" s="421">
        <v>0.510416666666667</v>
      </c>
      <c r="G16" s="186"/>
    </row>
    <row r="17" spans="1:8">
      <c r="A17" s="419">
        <v>0.520833333333333</v>
      </c>
      <c r="B17" s="420">
        <v>0.541666666666667</v>
      </c>
      <c r="C17" s="420">
        <v>0.5625</v>
      </c>
      <c r="D17" s="421" t="s">
        <v>8</v>
      </c>
      <c r="E17" s="186" t="s">
        <v>207</v>
      </c>
      <c r="G17" s="186"/>
    </row>
    <row r="18" spans="1:8">
      <c r="A18" s="419" t="s">
        <v>8</v>
      </c>
      <c r="B18" s="420" t="s">
        <v>8</v>
      </c>
      <c r="C18" s="420" t="s">
        <v>8</v>
      </c>
      <c r="D18" s="421">
        <v>0.59375</v>
      </c>
      <c r="G18" s="186"/>
    </row>
    <row r="19" ht="16.5" spans="1:8">
      <c r="A19" s="422">
        <v>0.604166666666667</v>
      </c>
      <c r="B19" s="423">
        <v>0.625</v>
      </c>
      <c r="C19" s="423">
        <v>0.645833333333333</v>
      </c>
      <c r="D19" s="424" t="s">
        <v>8</v>
      </c>
      <c r="E19" s="186" t="s">
        <v>208</v>
      </c>
      <c r="G19" s="186"/>
    </row>
    <row r="20" s="182" customFormat="1" ht="5.1" customHeight="1" spans="1:8">
      <c r="C20" s="212"/>
      <c r="D20" s="213"/>
      <c r="E20" s="212"/>
      <c r="F20" s="212"/>
      <c r="G20" s="213"/>
      <c r="H20" s="212"/>
    </row>
    <row r="21" s="184" customFormat="1" ht="17.25" spans="1:8">
      <c r="A21" s="258"/>
      <c r="B21" s="259"/>
      <c r="C21" s="259"/>
      <c r="D21" s="259"/>
      <c r="E21" s="259"/>
    </row>
    <row r="22" spans="1:8">
      <c r="A22" s="260"/>
      <c r="B22" s="260"/>
      <c r="C22" s="261"/>
      <c r="D22" s="262"/>
      <c r="E22" s="262"/>
      <c r="G22" s="186"/>
    </row>
    <row r="23" spans="1:8">
      <c r="A23" s="328"/>
      <c r="B23" s="265"/>
      <c r="C23" s="427"/>
      <c r="D23" s="303"/>
      <c r="E23" s="619"/>
      <c r="G23" s="263"/>
    </row>
    <row r="24" ht="54" customHeight="1" spans="1:8">
      <c r="A24" s="330"/>
      <c r="B24" s="265"/>
      <c r="C24" s="427"/>
      <c r="D24" s="303"/>
      <c r="E24" s="619"/>
      <c r="G24" s="329"/>
    </row>
    <row r="25" ht="30" customHeight="1" spans="1:8">
      <c r="A25" s="330"/>
      <c r="B25" s="265"/>
      <c r="C25" s="427"/>
      <c r="D25" s="303"/>
      <c r="E25" s="619"/>
      <c r="G25" s="611"/>
    </row>
    <row r="26" ht="30" customHeight="1" spans="1:8">
      <c r="A26" s="330"/>
      <c r="B26" s="265"/>
      <c r="C26" s="427"/>
      <c r="D26" s="303"/>
      <c r="E26" s="619"/>
      <c r="G26" s="329"/>
    </row>
    <row r="27" spans="1:8">
      <c r="A27" s="330"/>
      <c r="B27" s="265"/>
      <c r="C27" s="427"/>
      <c r="D27" s="303"/>
      <c r="E27" s="619"/>
      <c r="G27" s="329"/>
    </row>
    <row r="28" spans="1:8">
      <c r="A28" s="330"/>
      <c r="B28" s="265"/>
      <c r="C28" s="427"/>
      <c r="D28" s="303"/>
      <c r="E28" s="619"/>
      <c r="G28" s="329"/>
    </row>
    <row r="29" ht="30" customHeight="1" spans="1:8">
      <c r="A29" s="330"/>
      <c r="B29" s="265"/>
      <c r="C29" s="427"/>
      <c r="D29" s="303"/>
      <c r="E29" s="619"/>
      <c r="G29" s="329"/>
    </row>
    <row r="30" ht="30" customHeight="1" spans="1:8">
      <c r="A30" s="330"/>
      <c r="B30" s="265"/>
      <c r="C30" s="427"/>
      <c r="D30" s="303"/>
      <c r="E30" s="619"/>
      <c r="G30" s="329"/>
    </row>
    <row r="31" ht="53.25" customHeight="1" spans="1:8">
      <c r="A31" s="331"/>
      <c r="B31" s="265"/>
      <c r="C31" s="427"/>
      <c r="D31" s="303"/>
      <c r="E31" s="619"/>
      <c r="G31" s="186"/>
    </row>
    <row r="32" ht="7.5" customHeight="1" spans="1:8">
      <c r="A32" s="269"/>
      <c r="B32" s="270"/>
      <c r="C32" s="271"/>
      <c r="D32" s="272"/>
      <c r="E32" s="272"/>
      <c r="G32" s="186"/>
    </row>
    <row r="33" ht="24.95" customHeight="1" spans="1:5">
      <c r="A33" s="273"/>
      <c r="B33" s="274"/>
      <c r="C33" s="274"/>
      <c r="D33" s="274"/>
      <c r="E33" s="407"/>
    </row>
    <row r="34" ht="24.95" customHeight="1" spans="1:5">
      <c r="A34" s="629"/>
      <c r="B34" s="630"/>
      <c r="C34" s="606"/>
      <c r="D34" s="606"/>
      <c r="E34" s="606"/>
    </row>
    <row r="35" ht="20.1" customHeight="1" spans="1:5">
      <c r="A35" s="461"/>
      <c r="B35" s="461"/>
      <c r="C35" s="462"/>
      <c r="D35" s="463"/>
      <c r="E35" s="464"/>
    </row>
    <row r="36" ht="20.1" customHeight="1" spans="1:5">
      <c r="A36" s="461"/>
      <c r="B36" s="461"/>
      <c r="C36" s="462"/>
      <c r="D36" s="463"/>
      <c r="E36" s="464"/>
    </row>
    <row r="37" ht="20.1" customHeight="1" spans="1:5">
      <c r="A37" s="461"/>
      <c r="B37" s="461"/>
      <c r="C37" s="462"/>
      <c r="D37" s="463"/>
      <c r="E37" s="464"/>
    </row>
  </sheetData>
  <mergeCells count="13">
    <mergeCell ref="A1:D1"/>
    <mergeCell ref="A2:D2"/>
    <mergeCell ref="A3:D3"/>
    <mergeCell ref="A11:D11"/>
    <mergeCell ref="A12:D12"/>
    <mergeCell ref="A21:E21"/>
    <mergeCell ref="A33:E33"/>
    <mergeCell ref="A34:B34"/>
    <mergeCell ref="A35:B35"/>
    <mergeCell ref="A36:B36"/>
    <mergeCell ref="A37:B37"/>
    <mergeCell ref="A23:A31"/>
    <mergeCell ref="E35:E37"/>
  </mergeCells>
  <pageMargins left="1.18110236220472" right="0.748031496062992" top="0.196850393700787" bottom="0.196850393700787" header="0.511811023622047" footer="0.511811023622047"/>
  <pageSetup paperSize="9" scale="74" orientation="portrait" horizontalDpi="300" verticalDpi="300"/>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4"/>
  <sheetViews>
    <sheetView topLeftCell="A13" workbookViewId="0">
      <selection activeCell="F34" sqref="A21:F34"/>
    </sheetView>
  </sheetViews>
  <sheetFormatPr defaultColWidth="9.14285714285714" defaultRowHeight="15.75" outlineLevelCol="7"/>
  <cols>
    <col min="1" max="3" width="35.7142857142857" style="186" customWidth="1"/>
    <col min="4" max="4" width="35.7142857142857" style="185" customWidth="1"/>
    <col min="5" max="5" width="35.7142857142857" style="186" customWidth="1"/>
    <col min="6" max="6" width="17.7142857142857" style="186" customWidth="1"/>
    <col min="7" max="7" width="15.7142857142857" style="185" customWidth="1"/>
    <col min="8" max="8" width="15.7142857142857" style="186" customWidth="1"/>
    <col min="9" max="16384" width="9.14285714285714" style="186"/>
  </cols>
  <sheetData>
    <row r="1" ht="30.95" customHeight="1" spans="1:7">
      <c r="A1" s="188" t="s">
        <v>209</v>
      </c>
      <c r="B1" s="189"/>
      <c r="C1" s="190"/>
      <c r="D1" s="186"/>
      <c r="F1" s="185"/>
      <c r="G1" s="186"/>
    </row>
    <row r="2" ht="90" customHeight="1" spans="1:7">
      <c r="A2" s="402" t="s">
        <v>210</v>
      </c>
      <c r="B2" s="403"/>
      <c r="C2" s="404"/>
      <c r="D2" s="186"/>
      <c r="F2" s="185"/>
      <c r="G2" s="186"/>
    </row>
    <row r="3" ht="21.95" customHeight="1" spans="1:7">
      <c r="A3" s="438" t="s">
        <v>27</v>
      </c>
      <c r="B3" s="193"/>
      <c r="C3" s="490"/>
      <c r="D3" s="186"/>
      <c r="G3" s="186"/>
    </row>
    <row r="4" ht="32.45" customHeight="1" spans="1:7">
      <c r="A4" s="208" t="s">
        <v>202</v>
      </c>
      <c r="B4" s="256" t="s">
        <v>211</v>
      </c>
      <c r="C4" s="615" t="s">
        <v>212</v>
      </c>
      <c r="D4" s="186"/>
      <c r="F4" s="185"/>
      <c r="G4" s="186"/>
    </row>
    <row r="5" spans="1:7">
      <c r="A5" s="288" t="s">
        <v>8</v>
      </c>
      <c r="B5" s="289" t="s">
        <v>8</v>
      </c>
      <c r="C5" s="290">
        <v>0.00347222222222222</v>
      </c>
      <c r="D5" s="186"/>
      <c r="F5" s="185"/>
      <c r="G5" s="186"/>
    </row>
    <row r="6" spans="1:7">
      <c r="A6" s="453">
        <v>0.00694444444444444</v>
      </c>
      <c r="B6" s="291">
        <v>0.0381944444444444</v>
      </c>
      <c r="C6" s="536" t="s">
        <v>8</v>
      </c>
      <c r="D6" s="186"/>
      <c r="F6" s="185"/>
      <c r="G6" s="186"/>
    </row>
    <row r="7" spans="1:7">
      <c r="A7" s="453">
        <v>0.0763888888888889</v>
      </c>
      <c r="B7" s="291">
        <v>0.111111111111111</v>
      </c>
      <c r="C7" s="536" t="s">
        <v>8</v>
      </c>
      <c r="D7" s="186"/>
      <c r="F7" s="185"/>
      <c r="G7" s="186"/>
    </row>
    <row r="8" spans="1:7">
      <c r="A8" s="453">
        <v>0.597222222222222</v>
      </c>
      <c r="B8" s="291">
        <v>0.618055555555556</v>
      </c>
      <c r="C8" s="536" t="s">
        <v>8</v>
      </c>
      <c r="D8" s="186"/>
      <c r="F8" s="185"/>
      <c r="G8" s="186"/>
    </row>
    <row r="9" ht="16.5" spans="1:7">
      <c r="A9" s="238">
        <v>0.666666666666667</v>
      </c>
      <c r="B9" s="239">
        <v>0.701388888888889</v>
      </c>
      <c r="C9" s="240" t="s">
        <v>8</v>
      </c>
      <c r="D9" s="186"/>
      <c r="F9" s="185"/>
      <c r="G9" s="186"/>
    </row>
    <row r="10" ht="5.1" customHeight="1" spans="1:7">
      <c r="A10" s="181"/>
      <c r="B10" s="181"/>
      <c r="C10" s="181"/>
      <c r="D10" s="186"/>
      <c r="F10" s="185"/>
      <c r="G10" s="186"/>
    </row>
    <row r="11" ht="103.5" customHeight="1" spans="1:7">
      <c r="A11" s="616" t="s">
        <v>213</v>
      </c>
      <c r="B11" s="617"/>
      <c r="C11" s="618"/>
      <c r="D11" s="186"/>
      <c r="F11" s="185"/>
      <c r="G11" s="186"/>
    </row>
    <row r="12" ht="21.95" customHeight="1" spans="1:7">
      <c r="A12" s="438" t="s">
        <v>27</v>
      </c>
      <c r="B12" s="193"/>
      <c r="C12" s="490"/>
      <c r="D12" s="186"/>
      <c r="G12" s="186"/>
    </row>
    <row r="13" ht="36.6" customHeight="1" spans="1:7">
      <c r="A13" s="208" t="s">
        <v>211</v>
      </c>
      <c r="B13" s="256" t="s">
        <v>202</v>
      </c>
      <c r="C13" s="615" t="s">
        <v>91</v>
      </c>
      <c r="D13" s="186"/>
      <c r="F13" s="185"/>
      <c r="G13" s="186"/>
    </row>
    <row r="14" spans="1:7">
      <c r="A14" s="288">
        <v>0.121527777777778</v>
      </c>
      <c r="B14" s="289">
        <v>0.149305555555556</v>
      </c>
      <c r="C14" s="290" t="s">
        <v>8</v>
      </c>
      <c r="D14" s="186"/>
      <c r="F14" s="185"/>
      <c r="G14" s="186"/>
    </row>
    <row r="15" spans="1:7">
      <c r="A15" s="453">
        <v>0.201388888888889</v>
      </c>
      <c r="B15" s="291">
        <v>0.229166666666667</v>
      </c>
      <c r="C15" s="536" t="s">
        <v>8</v>
      </c>
      <c r="D15" s="186"/>
      <c r="F15" s="185"/>
      <c r="G15" s="186"/>
    </row>
    <row r="16" spans="1:7">
      <c r="A16" s="453" t="s">
        <v>8</v>
      </c>
      <c r="B16" s="291" t="s">
        <v>8</v>
      </c>
      <c r="C16" s="536">
        <v>0.527777777777778</v>
      </c>
      <c r="D16" s="186"/>
      <c r="F16" s="185"/>
      <c r="G16" s="186"/>
    </row>
    <row r="17" spans="1:8">
      <c r="A17" s="453">
        <v>0.534722222222222</v>
      </c>
      <c r="B17" s="291">
        <v>0.565972222222222</v>
      </c>
      <c r="C17" s="536" t="s">
        <v>8</v>
      </c>
      <c r="D17" s="186"/>
      <c r="F17" s="185"/>
      <c r="G17" s="186"/>
    </row>
    <row r="18" spans="1:8">
      <c r="A18" s="453" t="s">
        <v>8</v>
      </c>
      <c r="B18" s="291" t="s">
        <v>8</v>
      </c>
      <c r="C18" s="536">
        <v>0.604166666666667</v>
      </c>
      <c r="D18" s="186"/>
      <c r="F18" s="185"/>
      <c r="G18" s="186"/>
    </row>
    <row r="19" ht="16.5" spans="1:8">
      <c r="A19" s="238">
        <v>0.611111111111111</v>
      </c>
      <c r="B19" s="239">
        <v>0.645833333333333</v>
      </c>
      <c r="C19" s="240" t="s">
        <v>8</v>
      </c>
      <c r="D19" s="186"/>
      <c r="F19" s="185"/>
      <c r="G19" s="186"/>
    </row>
    <row r="20" s="182" customFormat="1" ht="4.5" customHeight="1" spans="1:8">
      <c r="C20" s="212"/>
      <c r="D20" s="213"/>
      <c r="E20" s="212"/>
      <c r="F20" s="212"/>
      <c r="G20" s="213"/>
      <c r="H20" s="212"/>
    </row>
    <row r="21" s="184" customFormat="1" ht="24.95" customHeight="1" spans="1:8">
      <c r="A21" s="258"/>
      <c r="B21" s="259"/>
      <c r="C21" s="259"/>
      <c r="D21" s="259"/>
      <c r="E21" s="259"/>
    </row>
    <row r="22" spans="1:8">
      <c r="A22" s="260"/>
      <c r="B22" s="260"/>
      <c r="C22" s="261"/>
      <c r="D22" s="262"/>
      <c r="E22" s="262"/>
      <c r="G22" s="186"/>
    </row>
    <row r="23" spans="1:8">
      <c r="A23" s="264"/>
      <c r="B23" s="265"/>
      <c r="C23" s="427"/>
      <c r="D23" s="303"/>
      <c r="E23" s="619"/>
      <c r="G23" s="263"/>
    </row>
    <row r="24" spans="1:8">
      <c r="A24" s="264"/>
      <c r="B24" s="265"/>
      <c r="C24" s="427"/>
      <c r="D24" s="303"/>
      <c r="E24" s="619"/>
      <c r="G24" s="329"/>
    </row>
    <row r="25" ht="30" customHeight="1" spans="1:8">
      <c r="A25" s="264"/>
      <c r="B25" s="265"/>
      <c r="C25" s="427"/>
      <c r="D25" s="303"/>
      <c r="E25" s="619"/>
      <c r="G25" s="611"/>
    </row>
    <row r="26" ht="30" customHeight="1" spans="1:8">
      <c r="A26" s="264"/>
      <c r="B26" s="265"/>
      <c r="C26" s="427"/>
      <c r="D26" s="303"/>
      <c r="E26" s="619"/>
      <c r="G26" s="329"/>
    </row>
    <row r="27" ht="30" customHeight="1" spans="1:8">
      <c r="A27" s="264"/>
      <c r="B27" s="265"/>
      <c r="C27" s="427"/>
      <c r="D27" s="303"/>
      <c r="E27" s="619"/>
      <c r="G27" s="329"/>
    </row>
    <row r="28" ht="30" customHeight="1" spans="1:8">
      <c r="A28" s="264"/>
      <c r="B28" s="265"/>
      <c r="C28" s="266"/>
      <c r="D28" s="303"/>
      <c r="E28" s="268"/>
      <c r="G28" s="186"/>
    </row>
    <row r="29" ht="7.5" customHeight="1" spans="1:8">
      <c r="A29" s="269"/>
      <c r="B29" s="270"/>
      <c r="C29" s="271"/>
      <c r="D29" s="272"/>
      <c r="E29" s="272"/>
      <c r="G29" s="186"/>
    </row>
    <row r="30" ht="24.95" customHeight="1" spans="1:8">
      <c r="A30" s="273"/>
      <c r="B30" s="274"/>
      <c r="C30" s="274"/>
      <c r="D30" s="274"/>
      <c r="E30" s="407"/>
    </row>
    <row r="31" ht="24.95" customHeight="1" spans="1:8">
      <c r="A31" s="277"/>
      <c r="B31" s="277"/>
      <c r="C31" s="277"/>
      <c r="D31" s="277"/>
      <c r="E31" s="277"/>
    </row>
    <row r="32" ht="20.1" customHeight="1" spans="1:8">
      <c r="A32" s="461"/>
      <c r="B32" s="461"/>
      <c r="C32" s="462"/>
      <c r="D32" s="463"/>
      <c r="E32" s="612"/>
    </row>
    <row r="33" ht="20.1" customHeight="1" spans="1:5">
      <c r="A33" s="461"/>
      <c r="B33" s="461"/>
      <c r="C33" s="462"/>
      <c r="D33" s="463"/>
      <c r="E33" s="613"/>
    </row>
    <row r="34" ht="20.1" customHeight="1" spans="1:5">
      <c r="A34" s="280"/>
      <c r="B34" s="280"/>
      <c r="C34" s="281"/>
      <c r="D34" s="282"/>
      <c r="E34" s="614"/>
    </row>
  </sheetData>
  <mergeCells count="13">
    <mergeCell ref="A1:C1"/>
    <mergeCell ref="A2:C2"/>
    <mergeCell ref="A3:C3"/>
    <mergeCell ref="A11:C11"/>
    <mergeCell ref="A12:C12"/>
    <mergeCell ref="A21:E21"/>
    <mergeCell ref="A30:E30"/>
    <mergeCell ref="A31:B31"/>
    <mergeCell ref="A32:B32"/>
    <mergeCell ref="A33:B33"/>
    <mergeCell ref="A34:B34"/>
    <mergeCell ref="A23:A28"/>
    <mergeCell ref="E32:E34"/>
  </mergeCells>
  <pageMargins left="1.18110236220472" right="0.748031496062992" top="0.196850393700787" bottom="0.196850393700787" header="0.511811023622047" footer="0.511811023622047"/>
  <pageSetup paperSize="9" scale="85" orientation="portrait" horizontalDpi="300" verticalDpi="300"/>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3"/>
  <sheetViews>
    <sheetView topLeftCell="A12" workbookViewId="0">
      <selection activeCell="F34" sqref="A20:F34"/>
    </sheetView>
  </sheetViews>
  <sheetFormatPr defaultColWidth="9.14285714285714" defaultRowHeight="15.75" outlineLevelCol="7"/>
  <cols>
    <col min="1" max="3" width="35.7142857142857" style="186" customWidth="1"/>
    <col min="4" max="4" width="35.7142857142857" style="185" customWidth="1"/>
    <col min="5" max="5" width="35.7142857142857" style="186" customWidth="1"/>
    <col min="6" max="6" width="17.7142857142857" style="186" customWidth="1"/>
    <col min="7" max="7" width="15.7142857142857" style="185" customWidth="1"/>
    <col min="8" max="8" width="15.7142857142857" style="186" customWidth="1"/>
    <col min="9" max="16384" width="9.14285714285714" style="186"/>
  </cols>
  <sheetData>
    <row r="1" ht="34.5" customHeight="1" spans="1:4">
      <c r="A1" s="188" t="s">
        <v>214</v>
      </c>
      <c r="B1" s="189"/>
      <c r="C1" s="189"/>
      <c r="D1" s="190"/>
    </row>
    <row r="2" ht="90" customHeight="1" spans="1:4">
      <c r="A2" s="402" t="s">
        <v>215</v>
      </c>
      <c r="B2" s="403"/>
      <c r="C2" s="403"/>
      <c r="D2" s="404"/>
    </row>
    <row r="3" ht="21" spans="1:4">
      <c r="A3" s="438" t="s">
        <v>27</v>
      </c>
      <c r="B3" s="193"/>
      <c r="C3" s="193"/>
      <c r="D3" s="490"/>
    </row>
    <row r="4" ht="32.25" spans="1:4">
      <c r="A4" s="201" t="s">
        <v>202</v>
      </c>
      <c r="B4" s="201" t="s">
        <v>216</v>
      </c>
      <c r="C4" s="201" t="s">
        <v>217</v>
      </c>
      <c r="D4" s="201" t="s">
        <v>218</v>
      </c>
    </row>
    <row r="5" spans="1:4">
      <c r="A5" s="288" t="s">
        <v>8</v>
      </c>
      <c r="B5" s="289" t="s">
        <v>8</v>
      </c>
      <c r="C5" s="289" t="s">
        <v>8</v>
      </c>
      <c r="D5" s="290">
        <v>0.00347222222222222</v>
      </c>
    </row>
    <row r="6" spans="1:4">
      <c r="A6" s="453">
        <v>0.00694444444444444</v>
      </c>
      <c r="B6" s="291">
        <v>0.03125</v>
      </c>
      <c r="C6" s="291">
        <v>0.0486111111111111</v>
      </c>
      <c r="D6" s="536" t="s">
        <v>8</v>
      </c>
    </row>
    <row r="7" spans="1:4">
      <c r="A7" s="453">
        <v>0.0763888888888889</v>
      </c>
      <c r="B7" s="291">
        <v>0.0902777777777778</v>
      </c>
      <c r="C7" s="291">
        <v>0.104166666666667</v>
      </c>
      <c r="D7" s="536" t="s">
        <v>8</v>
      </c>
    </row>
    <row r="8" spans="1:4">
      <c r="A8" s="453">
        <v>0.597222222222222</v>
      </c>
      <c r="B8" s="291">
        <v>0.621527777777778</v>
      </c>
      <c r="C8" s="291">
        <v>0.638888888888889</v>
      </c>
      <c r="D8" s="536" t="s">
        <v>8</v>
      </c>
    </row>
    <row r="9" spans="1:4">
      <c r="A9" s="453">
        <v>0.666666666666667</v>
      </c>
      <c r="B9" s="291">
        <v>0.690972222222222</v>
      </c>
      <c r="C9" s="291">
        <v>0.708333333333333</v>
      </c>
      <c r="D9" s="536" t="s">
        <v>8</v>
      </c>
    </row>
    <row r="10" ht="16.5" spans="1:4">
      <c r="A10" s="238" t="s">
        <v>8</v>
      </c>
      <c r="B10" s="239" t="s">
        <v>8</v>
      </c>
      <c r="C10" s="239" t="s">
        <v>8</v>
      </c>
      <c r="D10" s="240" t="s">
        <v>8</v>
      </c>
    </row>
    <row r="11" ht="37.5" customHeight="1" spans="1:4">
      <c r="A11" s="181"/>
      <c r="B11" s="181"/>
      <c r="C11" s="181"/>
      <c r="D11" s="181"/>
    </row>
    <row r="12" ht="92.25" customHeight="1" spans="1:4">
      <c r="A12" s="402" t="s">
        <v>219</v>
      </c>
      <c r="B12" s="403"/>
      <c r="C12" s="403"/>
      <c r="D12" s="404"/>
    </row>
    <row r="13" ht="23.25" customHeight="1" spans="1:4">
      <c r="A13" s="438" t="s">
        <v>27</v>
      </c>
      <c r="B13" s="193"/>
      <c r="C13" s="193"/>
      <c r="D13" s="490"/>
    </row>
    <row r="14" ht="32.25" spans="1:4">
      <c r="A14" s="201" t="s">
        <v>220</v>
      </c>
      <c r="B14" s="201" t="s">
        <v>90</v>
      </c>
      <c r="C14" s="201" t="s">
        <v>221</v>
      </c>
      <c r="D14" s="201" t="s">
        <v>202</v>
      </c>
    </row>
    <row r="15" spans="1:4">
      <c r="A15" s="202" t="s">
        <v>8</v>
      </c>
      <c r="B15" s="202">
        <v>0.118055555555556</v>
      </c>
      <c r="C15" s="202">
        <v>0.135416666666667</v>
      </c>
      <c r="D15" s="202">
        <v>0.149305555555556</v>
      </c>
    </row>
    <row r="16" spans="1:4">
      <c r="A16" s="610" t="s">
        <v>8</v>
      </c>
      <c r="B16" s="610">
        <v>0.197916666666667</v>
      </c>
      <c r="C16" s="610">
        <v>0.215277777777778</v>
      </c>
      <c r="D16" s="610">
        <v>0.229166666666667</v>
      </c>
    </row>
    <row r="17" spans="1:8">
      <c r="A17" s="610">
        <v>0.527777777777778</v>
      </c>
      <c r="B17" s="610">
        <v>0.534722222222222</v>
      </c>
      <c r="C17" s="610">
        <v>0.552083333333333</v>
      </c>
      <c r="D17" s="610">
        <v>0.565972222222222</v>
      </c>
    </row>
    <row r="18" ht="16.5" spans="1:8">
      <c r="A18" s="203">
        <v>0.607638888888889</v>
      </c>
      <c r="B18" s="203">
        <v>0.614583333333333</v>
      </c>
      <c r="C18" s="203">
        <v>0.631944444444444</v>
      </c>
      <c r="D18" s="203">
        <v>0.645833333333333</v>
      </c>
    </row>
    <row r="19" s="182" customFormat="1" ht="4.5" customHeight="1" spans="1:8">
      <c r="C19" s="212"/>
      <c r="D19" s="213"/>
      <c r="E19" s="212"/>
      <c r="F19" s="212"/>
      <c r="G19" s="213"/>
      <c r="H19" s="212"/>
    </row>
    <row r="20" s="184" customFormat="1" ht="24.95" customHeight="1" spans="1:8">
      <c r="A20" s="258"/>
      <c r="B20" s="259"/>
      <c r="C20" s="259"/>
      <c r="D20" s="259"/>
      <c r="E20" s="259"/>
    </row>
    <row r="21" spans="1:8">
      <c r="A21" s="260"/>
      <c r="B21" s="260"/>
      <c r="C21" s="261"/>
      <c r="D21" s="262"/>
      <c r="E21" s="262"/>
      <c r="G21" s="186"/>
    </row>
    <row r="22" spans="1:8">
      <c r="A22" s="264"/>
      <c r="B22" s="265"/>
      <c r="C22" s="427"/>
      <c r="D22" s="303"/>
      <c r="E22" s="268"/>
      <c r="G22" s="263"/>
    </row>
    <row r="23" ht="36.75" customHeight="1" spans="1:8">
      <c r="A23" s="264"/>
      <c r="B23" s="265"/>
      <c r="C23" s="427"/>
      <c r="D23" s="303"/>
      <c r="E23" s="268"/>
      <c r="G23" s="329"/>
    </row>
    <row r="24" ht="30" customHeight="1" spans="1:8">
      <c r="A24" s="264"/>
      <c r="B24" s="265"/>
      <c r="C24" s="427"/>
      <c r="D24" s="303"/>
      <c r="E24" s="268"/>
      <c r="G24" s="611"/>
    </row>
    <row r="25" ht="30" customHeight="1" spans="1:8">
      <c r="A25" s="264"/>
      <c r="B25" s="406"/>
      <c r="C25" s="427"/>
      <c r="D25" s="303"/>
      <c r="E25" s="268"/>
      <c r="G25" s="329"/>
    </row>
    <row r="26" ht="30" customHeight="1" spans="1:8">
      <c r="A26" s="264"/>
      <c r="B26" s="265"/>
      <c r="C26" s="427"/>
      <c r="D26" s="303"/>
      <c r="E26" s="268"/>
      <c r="G26" s="186"/>
    </row>
    <row r="27" ht="30" customHeight="1" spans="1:8">
      <c r="A27" s="264"/>
      <c r="B27" s="265"/>
      <c r="C27" s="427"/>
      <c r="D27" s="303"/>
      <c r="E27" s="268"/>
      <c r="G27" s="186"/>
    </row>
    <row r="28" ht="7.5" customHeight="1" spans="1:8">
      <c r="A28" s="269"/>
      <c r="B28" s="270"/>
      <c r="C28" s="271"/>
      <c r="D28" s="272"/>
      <c r="E28" s="272"/>
      <c r="G28" s="186"/>
    </row>
    <row r="29" ht="24.95" customHeight="1" spans="1:8">
      <c r="A29" s="273"/>
      <c r="B29" s="274"/>
      <c r="C29" s="274"/>
      <c r="D29" s="274"/>
      <c r="E29" s="407"/>
    </row>
    <row r="30" ht="24.95" customHeight="1" spans="1:8">
      <c r="A30" s="277"/>
      <c r="B30" s="277"/>
      <c r="C30" s="277"/>
      <c r="D30" s="277"/>
      <c r="E30" s="277"/>
    </row>
    <row r="31" ht="20.1" customHeight="1" spans="1:8">
      <c r="A31" s="461"/>
      <c r="B31" s="461"/>
      <c r="C31" s="462"/>
      <c r="D31" s="463"/>
      <c r="E31" s="612"/>
    </row>
    <row r="32" ht="20.1" customHeight="1" spans="1:8">
      <c r="A32" s="461"/>
      <c r="B32" s="461"/>
      <c r="C32" s="462"/>
      <c r="D32" s="463"/>
      <c r="E32" s="613"/>
    </row>
    <row r="33" ht="20.1" customHeight="1" spans="1:5">
      <c r="A33" s="280"/>
      <c r="B33" s="280"/>
      <c r="C33" s="281"/>
      <c r="D33" s="282"/>
      <c r="E33" s="614"/>
    </row>
  </sheetData>
  <mergeCells count="13">
    <mergeCell ref="A1:D1"/>
    <mergeCell ref="A2:D2"/>
    <mergeCell ref="A3:D3"/>
    <mergeCell ref="A12:D12"/>
    <mergeCell ref="A13:D13"/>
    <mergeCell ref="A20:E20"/>
    <mergeCell ref="A29:E29"/>
    <mergeCell ref="A30:B30"/>
    <mergeCell ref="A31:B31"/>
    <mergeCell ref="A32:B32"/>
    <mergeCell ref="A33:B33"/>
    <mergeCell ref="A22:A27"/>
    <mergeCell ref="E31:E33"/>
  </mergeCells>
  <pageMargins left="1.18110236220472" right="0.748031496062992" top="0.196850393700787" bottom="0.196850393700787" header="0.511811023622047" footer="0.511811023622047"/>
  <pageSetup paperSize="9" scale="63" orientation="portrait" horizontalDpi="300" verticalDpi="3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54"/>
  <sheetViews>
    <sheetView showGridLines="0" zoomScale="90" zoomScaleNormal="90" topLeftCell="A32" workbookViewId="0">
      <selection activeCell="J55" sqref="A35:J55"/>
    </sheetView>
  </sheetViews>
  <sheetFormatPr defaultColWidth="9.14285714285714" defaultRowHeight="15.75"/>
  <cols>
    <col min="1" max="3" width="35.7142857142857" style="186" customWidth="1"/>
    <col min="4" max="4" width="35.7142857142857" style="185" customWidth="1"/>
    <col min="5" max="5" width="29.8380952380952" style="186" customWidth="1"/>
    <col min="6" max="6" width="20" style="186" customWidth="1"/>
    <col min="7" max="7" width="20" style="185" customWidth="1"/>
    <col min="8" max="8" width="20" style="186" customWidth="1"/>
    <col min="9" max="9" width="18.4" style="186" customWidth="1"/>
    <col min="10" max="16384" width="9.14285714285714" style="186"/>
  </cols>
  <sheetData>
    <row r="1" ht="32.25" customHeight="1" spans="1:5">
      <c r="A1" s="188" t="s">
        <v>222</v>
      </c>
      <c r="B1" s="189"/>
      <c r="C1" s="189"/>
      <c r="D1" s="190"/>
    </row>
    <row r="2" ht="48" customHeight="1" spans="1:5">
      <c r="A2" s="204" t="s">
        <v>223</v>
      </c>
      <c r="B2" s="205"/>
      <c r="C2" s="205"/>
      <c r="D2" s="206"/>
    </row>
    <row r="3" ht="23.1" customHeight="1" spans="1:5">
      <c r="A3" s="438" t="s">
        <v>27</v>
      </c>
      <c r="B3" s="193"/>
      <c r="C3" s="193"/>
      <c r="D3" s="490"/>
    </row>
    <row r="4" ht="30.75" customHeight="1" spans="1:5">
      <c r="A4" s="201" t="s">
        <v>202</v>
      </c>
      <c r="B4" s="201" t="s">
        <v>224</v>
      </c>
      <c r="C4" s="201" t="s">
        <v>28</v>
      </c>
      <c r="D4" s="201" t="s">
        <v>224</v>
      </c>
    </row>
    <row r="5" spans="1:5">
      <c r="A5" s="571" t="s">
        <v>8</v>
      </c>
      <c r="B5" s="202" t="s">
        <v>8</v>
      </c>
      <c r="C5" s="571" t="s">
        <v>8</v>
      </c>
      <c r="D5" s="202">
        <v>0.0659722222222222</v>
      </c>
    </row>
    <row r="6" spans="1:5">
      <c r="A6" s="572">
        <v>0.0763888888888889</v>
      </c>
      <c r="B6" s="572">
        <v>0.0902777777777778</v>
      </c>
      <c r="C6" s="572">
        <v>0.111111111111111</v>
      </c>
      <c r="D6" s="572" t="s">
        <v>8</v>
      </c>
    </row>
    <row r="7" ht="16.5" spans="1:5">
      <c r="A7" s="573" t="s">
        <v>8</v>
      </c>
      <c r="B7" s="573" t="s">
        <v>8</v>
      </c>
      <c r="C7" s="573" t="s">
        <v>8</v>
      </c>
      <c r="D7" s="573" t="s">
        <v>8</v>
      </c>
    </row>
    <row r="8" ht="5.1" customHeight="1" spans="1:5">
      <c r="A8" s="183"/>
      <c r="B8" s="183"/>
      <c r="C8" s="183"/>
    </row>
    <row r="9" ht="32.25" customHeight="1" spans="1:5">
      <c r="A9" s="188" t="s">
        <v>222</v>
      </c>
      <c r="B9" s="189"/>
      <c r="C9" s="189"/>
      <c r="D9" s="190"/>
    </row>
    <row r="10" ht="27" customHeight="1" spans="1:5">
      <c r="A10" s="215" t="s">
        <v>225</v>
      </c>
      <c r="B10" s="216"/>
      <c r="C10" s="216"/>
      <c r="D10" s="217"/>
    </row>
    <row r="11" ht="24" customHeight="1" spans="1:5">
      <c r="A11" s="438" t="s">
        <v>27</v>
      </c>
      <c r="B11" s="193"/>
      <c r="C11" s="193"/>
      <c r="D11" s="490"/>
    </row>
    <row r="12" ht="38.1" customHeight="1" spans="1:5">
      <c r="A12" s="208" t="s">
        <v>226</v>
      </c>
      <c r="B12" s="209"/>
      <c r="C12" s="208" t="s">
        <v>202</v>
      </c>
      <c r="D12" s="209"/>
    </row>
    <row r="13" spans="1:5">
      <c r="A13" s="292">
        <v>0.270833333333333</v>
      </c>
      <c r="B13" s="293"/>
      <c r="C13" s="574">
        <v>0.284722222222222</v>
      </c>
      <c r="D13" s="575"/>
      <c r="E13" s="502" t="s">
        <v>227</v>
      </c>
    </row>
    <row r="14" ht="5.1" customHeight="1" spans="1:5">
      <c r="A14" s="183"/>
      <c r="B14" s="183"/>
      <c r="C14" s="183"/>
    </row>
    <row r="15" ht="32.25" customHeight="1" spans="1:5">
      <c r="A15" s="188" t="s">
        <v>222</v>
      </c>
      <c r="B15" s="189"/>
      <c r="C15" s="190"/>
      <c r="D15" s="576"/>
    </row>
    <row r="16" ht="72" customHeight="1" spans="1:5">
      <c r="A16" s="204" t="s">
        <v>228</v>
      </c>
      <c r="B16" s="205"/>
      <c r="C16" s="206"/>
      <c r="D16" s="577"/>
    </row>
    <row r="17" ht="22.35" customHeight="1" spans="1:4">
      <c r="A17" s="438" t="s">
        <v>27</v>
      </c>
      <c r="B17" s="193"/>
      <c r="C17" s="490"/>
      <c r="D17" s="578"/>
    </row>
    <row r="18" ht="34.9" customHeight="1" spans="1:4">
      <c r="A18" s="201" t="s">
        <v>229</v>
      </c>
      <c r="B18" s="201" t="s">
        <v>230</v>
      </c>
      <c r="C18" s="201" t="s">
        <v>202</v>
      </c>
      <c r="D18" s="577"/>
    </row>
    <row r="19" ht="16.5" spans="1:4">
      <c r="A19" s="238">
        <v>0.204861111111111</v>
      </c>
      <c r="B19" s="239">
        <v>0.215277777777778</v>
      </c>
      <c r="C19" s="240">
        <v>0.229166666666667</v>
      </c>
      <c r="D19" s="579"/>
    </row>
    <row r="20" ht="5.1" customHeight="1" spans="1:4">
      <c r="A20" s="183"/>
      <c r="B20" s="183"/>
      <c r="C20" s="183"/>
    </row>
    <row r="21" ht="32.25" customHeight="1" spans="1:4">
      <c r="A21" s="188" t="s">
        <v>222</v>
      </c>
      <c r="B21" s="189"/>
      <c r="C21" s="189"/>
      <c r="D21" s="190"/>
    </row>
    <row r="22" ht="27" customHeight="1" spans="1:4">
      <c r="A22" s="215" t="s">
        <v>231</v>
      </c>
      <c r="B22" s="216"/>
      <c r="C22" s="216"/>
      <c r="D22" s="217"/>
    </row>
    <row r="23" ht="24" customHeight="1" spans="1:4">
      <c r="A23" s="438" t="s">
        <v>27</v>
      </c>
      <c r="B23" s="193"/>
      <c r="C23" s="193"/>
      <c r="D23" s="490"/>
    </row>
    <row r="24" ht="38.1" customHeight="1" spans="1:4">
      <c r="A24" s="208" t="s">
        <v>232</v>
      </c>
      <c r="B24" s="209"/>
      <c r="C24" s="208" t="s">
        <v>233</v>
      </c>
      <c r="D24" s="209"/>
    </row>
    <row r="25" spans="1:4">
      <c r="A25" s="288"/>
      <c r="B25" s="290"/>
      <c r="C25" s="288"/>
      <c r="D25" s="290"/>
    </row>
    <row r="26" spans="1:4">
      <c r="A26" s="580">
        <v>0.666666666666667</v>
      </c>
      <c r="B26" s="581"/>
      <c r="C26" s="582">
        <v>0.680555555555556</v>
      </c>
      <c r="D26" s="583"/>
    </row>
    <row r="27" ht="16.5" spans="1:4">
      <c r="A27" s="230">
        <v>0.708333333333333</v>
      </c>
      <c r="B27" s="233"/>
      <c r="C27" s="584">
        <v>0.722222222222222</v>
      </c>
      <c r="D27" s="585"/>
    </row>
    <row r="28" ht="5.1" customHeight="1" spans="1:4">
      <c r="A28" s="586"/>
      <c r="B28" s="586"/>
      <c r="C28" s="587"/>
    </row>
    <row r="29" ht="32.25" customHeight="1" spans="1:4">
      <c r="A29" s="188" t="s">
        <v>222</v>
      </c>
      <c r="B29" s="189"/>
      <c r="C29" s="189"/>
      <c r="D29" s="190"/>
    </row>
    <row r="30" ht="48.75" customHeight="1" spans="1:4">
      <c r="A30" s="215" t="s">
        <v>234</v>
      </c>
      <c r="B30" s="216"/>
      <c r="C30" s="216"/>
      <c r="D30" s="217"/>
    </row>
    <row r="31" ht="31.7" customHeight="1" spans="1:4">
      <c r="A31" s="438" t="s">
        <v>27</v>
      </c>
      <c r="B31" s="193"/>
      <c r="C31" s="193"/>
      <c r="D31" s="490"/>
    </row>
    <row r="32" ht="31.7" customHeight="1" spans="1:4">
      <c r="A32" s="201" t="s">
        <v>235</v>
      </c>
      <c r="B32" s="588" t="s">
        <v>236</v>
      </c>
      <c r="C32" s="588" t="s">
        <v>237</v>
      </c>
      <c r="D32" s="588" t="s">
        <v>202</v>
      </c>
    </row>
    <row r="33" ht="16.5" spans="1:13">
      <c r="A33" s="375">
        <v>0.618055555555556</v>
      </c>
      <c r="B33" s="589">
        <v>0.625</v>
      </c>
      <c r="C33" s="589">
        <v>0.631944444444444</v>
      </c>
      <c r="D33" s="590">
        <v>0.645833333333333</v>
      </c>
    </row>
    <row r="34" s="182" customFormat="1" ht="5.1" customHeight="1" spans="1:13">
      <c r="C34" s="212"/>
      <c r="D34" s="213"/>
      <c r="E34" s="212"/>
      <c r="F34" s="212"/>
      <c r="G34" s="213"/>
      <c r="H34" s="212"/>
    </row>
    <row r="35" s="184" customFormat="1" ht="24.95" customHeight="1" spans="1:13">
      <c r="A35" s="258"/>
      <c r="B35" s="259"/>
      <c r="C35" s="259"/>
      <c r="D35" s="259"/>
      <c r="E35" s="259"/>
      <c r="F35" s="259"/>
      <c r="G35" s="259"/>
      <c r="H35" s="259"/>
      <c r="I35" s="496"/>
    </row>
    <row r="36" customFormat="1" spans="1:13">
      <c r="A36" s="591"/>
      <c r="B36" s="592"/>
      <c r="C36" s="593"/>
      <c r="D36" s="594"/>
      <c r="E36" s="595"/>
      <c r="F36" s="594"/>
      <c r="G36" s="595"/>
      <c r="H36" s="596"/>
      <c r="I36" s="596"/>
    </row>
    <row r="37" spans="1:13">
      <c r="A37" s="260"/>
      <c r="B37" s="260"/>
      <c r="C37" s="261"/>
      <c r="D37" s="262"/>
      <c r="E37" s="262"/>
      <c r="F37" s="262"/>
      <c r="G37" s="262"/>
      <c r="H37" s="597"/>
      <c r="I37" s="597"/>
    </row>
    <row r="38" ht="30" customHeight="1" spans="1:13">
      <c r="A38" s="328"/>
      <c r="B38" s="265"/>
      <c r="C38" s="427"/>
      <c r="D38" s="303"/>
      <c r="E38" s="268"/>
      <c r="F38" s="303"/>
      <c r="G38" s="427"/>
      <c r="H38" s="427"/>
      <c r="I38" s="427"/>
    </row>
    <row r="39" ht="30" customHeight="1" spans="1:13">
      <c r="A39" s="330"/>
      <c r="B39" s="265"/>
      <c r="C39" s="427"/>
      <c r="D39" s="388"/>
      <c r="E39" s="268"/>
      <c r="F39" s="303"/>
      <c r="G39" s="427"/>
      <c r="H39" s="427"/>
      <c r="I39" s="427"/>
    </row>
    <row r="40" ht="30" customHeight="1" spans="1:13">
      <c r="A40" s="330"/>
      <c r="B40" s="265"/>
      <c r="C40" s="427"/>
      <c r="D40" s="303"/>
      <c r="E40" s="268"/>
      <c r="F40" s="303"/>
      <c r="G40" s="427"/>
      <c r="H40" s="427"/>
      <c r="I40" s="427"/>
    </row>
    <row r="41" ht="30" customHeight="1" spans="1:13">
      <c r="A41" s="330"/>
      <c r="B41" s="265"/>
      <c r="C41" s="427"/>
      <c r="D41" s="388"/>
      <c r="E41" s="268"/>
      <c r="F41" s="303"/>
      <c r="G41" s="427"/>
      <c r="H41" s="427"/>
      <c r="I41" s="427"/>
    </row>
    <row r="42" ht="39" customHeight="1" spans="1:13">
      <c r="A42" s="330"/>
      <c r="B42" s="265"/>
      <c r="C42" s="427"/>
      <c r="D42" s="303"/>
      <c r="E42" s="268"/>
      <c r="F42" s="303"/>
      <c r="G42" s="427"/>
      <c r="H42" s="427"/>
      <c r="I42" s="427"/>
    </row>
    <row r="43" ht="38.25" customHeight="1" spans="1:13">
      <c r="A43" s="330"/>
      <c r="B43" s="265"/>
      <c r="C43" s="427"/>
      <c r="D43" s="303"/>
      <c r="E43" s="268"/>
      <c r="F43" s="303"/>
      <c r="G43" s="427"/>
      <c r="H43" s="427"/>
      <c r="I43" s="427"/>
      <c r="M43" s="303"/>
    </row>
    <row r="44" ht="30" customHeight="1" spans="1:13">
      <c r="A44" s="330"/>
      <c r="B44" s="265"/>
      <c r="C44" s="427"/>
      <c r="D44" s="303"/>
      <c r="E44" s="268"/>
      <c r="F44" s="303"/>
      <c r="G44" s="427"/>
      <c r="H44" s="427"/>
      <c r="I44" s="427"/>
    </row>
    <row r="45" ht="40.5" customHeight="1" spans="1:13">
      <c r="A45" s="331"/>
      <c r="B45" s="265"/>
      <c r="C45" s="427"/>
      <c r="D45" s="267"/>
      <c r="E45" s="268"/>
      <c r="F45" s="303"/>
      <c r="G45" s="427"/>
      <c r="H45" s="427"/>
      <c r="I45" s="427"/>
    </row>
    <row r="46" ht="7.5" customHeight="1" spans="1:13">
      <c r="A46" s="269"/>
      <c r="B46" s="270"/>
      <c r="C46" s="271"/>
      <c r="D46" s="272"/>
      <c r="E46" s="272"/>
      <c r="G46" s="186"/>
      <c r="I46" s="598"/>
    </row>
    <row r="47" ht="24.95" customHeight="1" spans="1:13">
      <c r="A47" s="599"/>
      <c r="B47" s="600"/>
      <c r="C47" s="600"/>
      <c r="D47" s="600"/>
      <c r="E47" s="600"/>
      <c r="F47" s="600"/>
      <c r="G47" s="600"/>
      <c r="H47" s="600"/>
    </row>
    <row r="48" ht="24.95" customHeight="1" spans="1:13">
      <c r="A48" s="601"/>
      <c r="B48" s="602"/>
      <c r="C48" s="603"/>
      <c r="D48" s="604"/>
      <c r="E48" s="603"/>
      <c r="F48" s="604"/>
      <c r="G48" s="605"/>
      <c r="H48" s="605"/>
    </row>
    <row r="49" ht="39" customHeight="1" spans="1:12">
      <c r="A49" s="606"/>
      <c r="B49" s="606"/>
      <c r="C49" s="262"/>
      <c r="D49" s="262"/>
      <c r="E49" s="262"/>
      <c r="F49" s="262"/>
      <c r="G49" s="597"/>
      <c r="H49" s="597"/>
    </row>
    <row r="50" ht="20.1" customHeight="1" spans="1:12">
      <c r="A50" s="461"/>
      <c r="B50" s="461"/>
      <c r="C50" s="462"/>
      <c r="D50" s="463"/>
      <c r="E50" s="607"/>
      <c r="F50" s="463"/>
      <c r="G50" s="607"/>
      <c r="H50" s="463"/>
    </row>
    <row r="51" ht="20.1" customHeight="1" spans="1:12">
      <c r="A51" s="461"/>
      <c r="B51" s="461"/>
      <c r="C51" s="462"/>
      <c r="D51" s="463"/>
      <c r="E51" s="607"/>
      <c r="F51" s="463"/>
      <c r="G51" s="607"/>
      <c r="H51" s="463"/>
    </row>
    <row r="52" ht="20.1" customHeight="1" spans="1:12">
      <c r="A52" s="608"/>
      <c r="B52" s="608"/>
      <c r="C52" s="607"/>
      <c r="D52" s="609"/>
      <c r="E52" s="607"/>
      <c r="F52" s="463"/>
      <c r="G52" s="607"/>
      <c r="H52" s="463"/>
    </row>
    <row r="53" ht="20.1" customHeight="1" spans="1:12">
      <c r="A53" s="608"/>
      <c r="B53" s="608"/>
      <c r="C53" s="607"/>
      <c r="D53" s="609"/>
      <c r="E53" s="607"/>
      <c r="F53" s="463"/>
      <c r="G53" s="607"/>
      <c r="H53" s="463"/>
      <c r="L53" s="607"/>
    </row>
    <row r="54" ht="20.1" customHeight="1" spans="1:12">
      <c r="A54" s="461"/>
      <c r="B54" s="461"/>
      <c r="C54" s="462"/>
      <c r="D54" s="463"/>
      <c r="E54" s="607"/>
      <c r="F54" s="463"/>
      <c r="G54" s="607"/>
      <c r="H54" s="463"/>
    </row>
  </sheetData>
  <mergeCells count="44">
    <mergeCell ref="A1:D1"/>
    <mergeCell ref="A2:D2"/>
    <mergeCell ref="A3:D3"/>
    <mergeCell ref="A9:D9"/>
    <mergeCell ref="A10:D10"/>
    <mergeCell ref="A11:D11"/>
    <mergeCell ref="A12:B12"/>
    <mergeCell ref="C12:D12"/>
    <mergeCell ref="A13:B13"/>
    <mergeCell ref="C13:D13"/>
    <mergeCell ref="A15:C15"/>
    <mergeCell ref="A16:C16"/>
    <mergeCell ref="A17:C17"/>
    <mergeCell ref="A21:D21"/>
    <mergeCell ref="A22:D22"/>
    <mergeCell ref="A23:D23"/>
    <mergeCell ref="A24:B24"/>
    <mergeCell ref="C24:D24"/>
    <mergeCell ref="A25:B25"/>
    <mergeCell ref="C25:D25"/>
    <mergeCell ref="A26:B26"/>
    <mergeCell ref="C26:D26"/>
    <mergeCell ref="A27:B27"/>
    <mergeCell ref="C27:D27"/>
    <mergeCell ref="A29:D29"/>
    <mergeCell ref="A30:D30"/>
    <mergeCell ref="A31:D31"/>
    <mergeCell ref="A35:I35"/>
    <mergeCell ref="D36:E36"/>
    <mergeCell ref="F36:G36"/>
    <mergeCell ref="A47:H47"/>
    <mergeCell ref="C48:D48"/>
    <mergeCell ref="E48:F48"/>
    <mergeCell ref="A49:B49"/>
    <mergeCell ref="A50:B50"/>
    <mergeCell ref="A51:B51"/>
    <mergeCell ref="A52:B52"/>
    <mergeCell ref="A53:B53"/>
    <mergeCell ref="A54:B54"/>
    <mergeCell ref="A38:A45"/>
    <mergeCell ref="G48:G49"/>
    <mergeCell ref="H36:H37"/>
    <mergeCell ref="H48:H49"/>
    <mergeCell ref="I36:I37"/>
  </mergeCells>
  <pageMargins left="0.196850393700787" right="0" top="0.196850393700787" bottom="0.196850393700787" header="0.511811023622047" footer="0.511811023622047"/>
  <pageSetup paperSize="9" scale="81" orientation="portrait" horizontalDpi="300" verticalDpi="3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H55"/>
  <sheetViews>
    <sheetView topLeftCell="A35" workbookViewId="0">
      <selection activeCell="G35" sqref="A34:G35"/>
    </sheetView>
  </sheetViews>
  <sheetFormatPr defaultColWidth="9.14285714285714" defaultRowHeight="15.75" outlineLevelCol="7"/>
  <cols>
    <col min="1" max="3" width="35.7142857142857" style="186" customWidth="1"/>
    <col min="4" max="4" width="35.7142857142857" style="185" customWidth="1"/>
    <col min="5" max="5" width="35.7142857142857" style="186" customWidth="1"/>
    <col min="6" max="6" width="17.7142857142857" style="186" customWidth="1"/>
    <col min="7" max="7" width="15.7142857142857" style="185" customWidth="1"/>
    <col min="8" max="8" width="15.7142857142857" style="186" customWidth="1"/>
    <col min="9" max="16384" width="9.14285714285714" style="186"/>
  </cols>
  <sheetData>
    <row r="1" s="183" customFormat="1" ht="30" customHeight="1" spans="1:7">
      <c r="A1" s="325" t="s">
        <v>238</v>
      </c>
      <c r="B1" s="326"/>
      <c r="C1" s="326"/>
      <c r="D1" s="327"/>
      <c r="E1" s="401"/>
      <c r="F1" s="401"/>
    </row>
    <row r="2" s="181" customFormat="1" ht="73.5" customHeight="1" spans="1:7">
      <c r="A2" s="542" t="s">
        <v>239</v>
      </c>
      <c r="B2" s="543"/>
      <c r="C2" s="543"/>
      <c r="D2" s="544"/>
      <c r="E2" s="200"/>
      <c r="F2" s="200"/>
    </row>
    <row r="3" s="183" customFormat="1" ht="5.25" customHeight="1"/>
    <row r="4" s="183" customFormat="1" ht="27.95" customHeight="1" spans="1:7">
      <c r="A4" s="545" t="s">
        <v>27</v>
      </c>
      <c r="B4" s="546"/>
      <c r="C4" s="546"/>
      <c r="D4" s="547"/>
      <c r="E4" s="405"/>
      <c r="F4" s="405"/>
    </row>
    <row r="5" s="183" customFormat="1" ht="32.25" customHeight="1" spans="1:7">
      <c r="A5" s="201" t="s">
        <v>240</v>
      </c>
      <c r="B5" s="201" t="s">
        <v>241</v>
      </c>
      <c r="C5" s="201" t="s">
        <v>242</v>
      </c>
      <c r="D5" s="201" t="s">
        <v>3</v>
      </c>
    </row>
    <row r="6" s="183" customFormat="1" ht="16.5" spans="1:7">
      <c r="A6" s="288">
        <v>0.0104166666666667</v>
      </c>
      <c r="B6" s="548">
        <v>0.03125</v>
      </c>
      <c r="C6" s="289">
        <v>0.0451388888888889</v>
      </c>
      <c r="D6" s="549">
        <v>0.0659722222222222</v>
      </c>
      <c r="F6" s="234"/>
    </row>
    <row r="7" s="183" customFormat="1" ht="17.25" spans="1:7">
      <c r="A7" s="550">
        <v>0.0798611111111111</v>
      </c>
      <c r="B7" s="239" t="s">
        <v>8</v>
      </c>
      <c r="C7" s="239" t="s">
        <v>8</v>
      </c>
      <c r="D7" s="240" t="s">
        <v>8</v>
      </c>
      <c r="F7" s="234"/>
      <c r="G7" s="241"/>
    </row>
    <row r="8" s="183" customFormat="1" ht="5.1" customHeight="1" spans="1:7">
      <c r="A8" s="181"/>
      <c r="B8" s="181"/>
      <c r="C8" s="181"/>
      <c r="D8" s="181"/>
      <c r="E8" s="181"/>
      <c r="F8" s="181"/>
    </row>
    <row r="9" s="181" customFormat="1" ht="66" customHeight="1" spans="1:7">
      <c r="A9" s="551" t="s">
        <v>243</v>
      </c>
      <c r="B9" s="552"/>
      <c r="C9" s="552"/>
      <c r="D9" s="553"/>
      <c r="E9" s="200"/>
      <c r="F9" s="200"/>
    </row>
    <row r="10" s="401" customFormat="1" ht="24.6" customHeight="1" spans="1:7">
      <c r="A10" s="545" t="s">
        <v>27</v>
      </c>
      <c r="B10" s="546"/>
      <c r="C10" s="546"/>
      <c r="D10" s="547"/>
    </row>
    <row r="11" s="183" customFormat="1" ht="32.25" customHeight="1" spans="1:7">
      <c r="A11" s="201" t="s">
        <v>244</v>
      </c>
      <c r="B11" s="201" t="s">
        <v>3</v>
      </c>
      <c r="C11" s="201" t="s">
        <v>245</v>
      </c>
      <c r="D11" s="554" t="s">
        <v>241</v>
      </c>
    </row>
    <row r="12" s="183" customFormat="1" ht="17.25" customHeight="1" spans="1:7">
      <c r="A12" s="555">
        <v>0.177083333333333</v>
      </c>
      <c r="B12" s="556">
        <v>0.190972222222222</v>
      </c>
      <c r="C12" s="557">
        <v>0.204861111111111</v>
      </c>
      <c r="D12" s="558">
        <v>0.225694444444444</v>
      </c>
      <c r="F12" s="234"/>
      <c r="G12" s="241"/>
    </row>
    <row r="13" s="183" customFormat="1" ht="17.25" spans="1:7">
      <c r="A13" s="559">
        <v>0.246527777777778</v>
      </c>
      <c r="B13" s="239" t="s">
        <v>8</v>
      </c>
      <c r="C13" s="239" t="s">
        <v>8</v>
      </c>
      <c r="D13" s="240" t="s">
        <v>8</v>
      </c>
      <c r="F13" s="234"/>
      <c r="G13" s="241"/>
    </row>
    <row r="14" s="183" customFormat="1" ht="5.1" customHeight="1" spans="1:7">
      <c r="A14" s="181"/>
      <c r="B14" s="181"/>
      <c r="C14" s="181"/>
      <c r="D14" s="181"/>
      <c r="E14" s="181"/>
      <c r="F14" s="181"/>
    </row>
    <row r="15" s="181" customFormat="1" ht="66" customHeight="1" spans="1:7">
      <c r="A15" s="215" t="s">
        <v>246</v>
      </c>
      <c r="B15" s="216"/>
      <c r="C15" s="216"/>
      <c r="D15" s="217"/>
      <c r="E15" s="200"/>
      <c r="F15" s="200"/>
    </row>
    <row r="16" s="183" customFormat="1" ht="5.1" customHeight="1"/>
    <row r="17" s="183" customFormat="1" ht="32.25" customHeight="1" spans="1:8">
      <c r="A17" s="438" t="s">
        <v>27</v>
      </c>
      <c r="B17" s="193"/>
      <c r="C17" s="193"/>
      <c r="D17" s="490"/>
      <c r="E17" s="405"/>
      <c r="F17" s="405"/>
    </row>
    <row r="18" s="183" customFormat="1" ht="32.25" customHeight="1" spans="1:8">
      <c r="A18" s="201" t="s">
        <v>247</v>
      </c>
      <c r="B18" s="201" t="s">
        <v>241</v>
      </c>
      <c r="C18" s="201" t="s">
        <v>242</v>
      </c>
      <c r="D18" s="201" t="s">
        <v>3</v>
      </c>
    </row>
    <row r="19" s="183" customFormat="1" ht="16.5" spans="1:8">
      <c r="A19" s="453"/>
      <c r="B19" s="560">
        <v>0.732638888888889</v>
      </c>
      <c r="C19" s="291">
        <v>0.746527777777778</v>
      </c>
      <c r="D19" s="561">
        <v>0.767361111111111</v>
      </c>
      <c r="F19" s="234"/>
      <c r="G19" s="241"/>
    </row>
    <row r="20" s="183" customFormat="1" ht="17.25" spans="1:8">
      <c r="A20" s="562">
        <v>0.78125</v>
      </c>
      <c r="B20" s="239" t="s">
        <v>8</v>
      </c>
      <c r="C20" s="239" t="s">
        <v>8</v>
      </c>
      <c r="D20" s="240" t="s">
        <v>8</v>
      </c>
      <c r="E20" s="234"/>
      <c r="F20" s="234"/>
      <c r="G20" s="241"/>
    </row>
    <row r="21" s="183" customFormat="1" ht="5.1" customHeight="1" spans="1:8">
      <c r="A21" s="181"/>
      <c r="B21" s="181"/>
      <c r="C21" s="181"/>
      <c r="D21" s="181"/>
      <c r="E21" s="181"/>
      <c r="F21" s="181"/>
    </row>
    <row r="22" s="181" customFormat="1" ht="73.5" customHeight="1" spans="1:8">
      <c r="A22" s="551" t="s">
        <v>248</v>
      </c>
      <c r="B22" s="552"/>
      <c r="C22" s="552"/>
      <c r="D22" s="553"/>
      <c r="E22" s="200"/>
      <c r="F22" s="200"/>
    </row>
    <row r="23" s="183" customFormat="1" ht="5.25" customHeight="1"/>
    <row r="24" s="183" customFormat="1" ht="30" customHeight="1" spans="1:8">
      <c r="A24" s="192" t="s">
        <v>27</v>
      </c>
      <c r="B24" s="491"/>
      <c r="C24" s="491"/>
      <c r="D24" s="194"/>
      <c r="E24" s="405"/>
      <c r="F24" s="405"/>
    </row>
    <row r="25" s="183" customFormat="1" ht="32.25" customHeight="1" spans="1:8">
      <c r="A25" s="201" t="s">
        <v>249</v>
      </c>
      <c r="B25" s="201" t="s">
        <v>3</v>
      </c>
      <c r="C25" s="201" t="s">
        <v>250</v>
      </c>
      <c r="D25" s="554" t="s">
        <v>241</v>
      </c>
    </row>
    <row r="26" s="183" customFormat="1" ht="17.25" spans="1:8">
      <c r="A26" s="563">
        <v>0.576388888888889</v>
      </c>
      <c r="B26" s="378">
        <v>0.590277777777778</v>
      </c>
      <c r="C26" s="376">
        <v>0.611111111111111</v>
      </c>
      <c r="D26" s="379">
        <v>0.625</v>
      </c>
      <c r="F26" s="234"/>
      <c r="G26" s="241"/>
    </row>
    <row r="27" s="182" customFormat="1" ht="5.1" customHeight="1" spans="1:8">
      <c r="C27" s="212"/>
      <c r="D27" s="213"/>
      <c r="E27" s="212"/>
      <c r="F27" s="212"/>
      <c r="G27" s="213"/>
      <c r="H27" s="212"/>
    </row>
    <row r="28" s="181" customFormat="1" ht="73.5" customHeight="1" spans="1:8">
      <c r="A28" s="551" t="s">
        <v>251</v>
      </c>
      <c r="B28" s="552"/>
      <c r="C28" s="552"/>
      <c r="D28" s="553"/>
      <c r="E28" s="200"/>
      <c r="F28" s="200"/>
    </row>
    <row r="29" s="183" customFormat="1" ht="22.7" customHeight="1" spans="1:8">
      <c r="A29" s="192" t="s">
        <v>27</v>
      </c>
      <c r="B29" s="491"/>
      <c r="C29" s="491"/>
      <c r="D29" s="194"/>
      <c r="E29" s="405"/>
      <c r="F29" s="405"/>
    </row>
    <row r="30" s="183" customFormat="1" ht="32.25" customHeight="1" spans="1:8">
      <c r="A30" s="533" t="s">
        <v>252</v>
      </c>
      <c r="B30" s="534" t="s">
        <v>241</v>
      </c>
      <c r="C30" s="534" t="s">
        <v>253</v>
      </c>
      <c r="D30" s="535" t="s">
        <v>3</v>
      </c>
    </row>
    <row r="31" s="183" customFormat="1" ht="16.5" spans="1:8">
      <c r="A31" s="453" t="s">
        <v>8</v>
      </c>
      <c r="B31" s="291">
        <v>0.645833333333333</v>
      </c>
      <c r="C31" s="291">
        <v>0.659722222222222</v>
      </c>
      <c r="D31" s="455">
        <v>0.680555555555555</v>
      </c>
      <c r="F31" s="234"/>
    </row>
    <row r="32" s="183" customFormat="1" ht="17.25" spans="1:8">
      <c r="A32" s="456">
        <v>0.694444444444445</v>
      </c>
      <c r="B32" s="239" t="s">
        <v>8</v>
      </c>
      <c r="C32" s="239" t="s">
        <v>8</v>
      </c>
      <c r="D32" s="240" t="s">
        <v>8</v>
      </c>
      <c r="E32" s="234"/>
      <c r="F32" s="234"/>
      <c r="G32" s="241"/>
    </row>
    <row r="33" s="182" customFormat="1" ht="5.1" customHeight="1" spans="1:8">
      <c r="C33" s="212"/>
      <c r="D33" s="213"/>
      <c r="E33" s="212"/>
      <c r="F33" s="212"/>
      <c r="G33" s="213"/>
      <c r="H33" s="212"/>
    </row>
    <row r="34" s="184" customFormat="1" ht="32.25" customHeight="1" spans="1:8">
      <c r="A34" s="258"/>
      <c r="B34" s="259"/>
      <c r="C34" s="259"/>
      <c r="D34" s="259"/>
      <c r="E34" s="259"/>
    </row>
    <row r="35" s="186" customFormat="1" spans="1:8">
      <c r="A35" s="260"/>
      <c r="B35" s="260"/>
      <c r="C35" s="261"/>
      <c r="D35" s="262"/>
      <c r="E35" s="262"/>
    </row>
    <row r="36" s="186" customFormat="1" ht="35.25" customHeight="1" spans="1:8">
      <c r="A36" s="264"/>
      <c r="B36" s="265"/>
      <c r="C36" s="266"/>
      <c r="D36" s="459"/>
      <c r="E36" s="564"/>
      <c r="G36" s="263"/>
    </row>
    <row r="37" s="186" customFormat="1" spans="1:8">
      <c r="A37" s="264"/>
      <c r="B37" s="265"/>
      <c r="C37" s="266"/>
      <c r="D37" s="565"/>
      <c r="E37" s="349"/>
      <c r="G37" s="263"/>
    </row>
    <row r="38" s="186" customFormat="1" ht="35.25" customHeight="1" spans="1:8">
      <c r="A38" s="264"/>
      <c r="B38" s="265"/>
      <c r="C38" s="266"/>
      <c r="D38" s="459"/>
      <c r="E38" s="268"/>
      <c r="G38" s="329"/>
    </row>
    <row r="39" s="186" customFormat="1" ht="36.75" customHeight="1" spans="1:8">
      <c r="A39" s="264"/>
      <c r="B39" s="265"/>
      <c r="C39" s="266"/>
      <c r="D39" s="388"/>
      <c r="E39" s="268"/>
      <c r="G39" s="566"/>
    </row>
    <row r="40" s="186" customFormat="1" ht="37.5" customHeight="1" spans="1:8">
      <c r="A40" s="264"/>
      <c r="B40" s="406"/>
      <c r="C40" s="567"/>
      <c r="D40" s="565"/>
      <c r="E40" s="268"/>
      <c r="G40" s="329"/>
    </row>
    <row r="41" s="186" customFormat="1" ht="30" customHeight="1" spans="1:8">
      <c r="A41" s="264"/>
      <c r="B41" s="265"/>
      <c r="C41" s="567"/>
      <c r="D41" s="565"/>
      <c r="E41" s="568"/>
    </row>
    <row r="42" s="186" customFormat="1" ht="30" customHeight="1" spans="1:8">
      <c r="A42" s="264"/>
      <c r="B42" s="265"/>
      <c r="C42" s="567"/>
      <c r="D42" s="267"/>
      <c r="E42" s="568"/>
    </row>
    <row r="43" s="186" customFormat="1" ht="30" customHeight="1" spans="1:8">
      <c r="A43" s="264"/>
      <c r="B43" s="265"/>
      <c r="C43" s="347"/>
      <c r="D43" s="388"/>
      <c r="E43" s="268"/>
    </row>
    <row r="44" s="186" customFormat="1" ht="30" customHeight="1" spans="1:8">
      <c r="A44" s="264"/>
      <c r="B44" s="265"/>
      <c r="C44" s="266"/>
      <c r="D44" s="388"/>
      <c r="E44" s="268"/>
    </row>
    <row r="45" s="186" customFormat="1" ht="7.5" customHeight="1" spans="1:8">
      <c r="A45" s="269"/>
      <c r="B45" s="270"/>
      <c r="C45" s="271"/>
      <c r="D45" s="272"/>
      <c r="E45" s="272"/>
    </row>
    <row r="46" s="186" customFormat="1" ht="24.95" customHeight="1" spans="1:8">
      <c r="A46" s="392"/>
      <c r="B46" s="392"/>
      <c r="C46" s="392"/>
      <c r="D46" s="392"/>
      <c r="E46" s="392"/>
      <c r="G46" s="185"/>
    </row>
    <row r="47" s="186" customFormat="1" ht="24.95" customHeight="1" spans="1:8">
      <c r="A47" s="460"/>
      <c r="B47" s="460"/>
      <c r="C47" s="460"/>
      <c r="D47" s="460"/>
      <c r="E47" s="460"/>
      <c r="G47" s="185"/>
    </row>
    <row r="48" s="186" customFormat="1" ht="20.1" customHeight="1" spans="1:8">
      <c r="A48" s="461"/>
      <c r="B48" s="461"/>
      <c r="C48" s="462"/>
      <c r="D48" s="463"/>
      <c r="E48" s="464"/>
      <c r="G48" s="185"/>
    </row>
    <row r="49" s="186" customFormat="1" ht="20.1" customHeight="1" spans="1:7">
      <c r="A49" s="461"/>
      <c r="B49" s="461"/>
      <c r="C49" s="462"/>
      <c r="D49" s="463"/>
      <c r="E49" s="464"/>
      <c r="G49" s="185"/>
    </row>
    <row r="50" s="186" customFormat="1" ht="20.1" customHeight="1" spans="1:7">
      <c r="A50" s="461"/>
      <c r="B50" s="461"/>
      <c r="C50" s="462"/>
      <c r="D50" s="463"/>
      <c r="E50" s="464"/>
      <c r="G50" s="185"/>
    </row>
    <row r="51" s="186" customFormat="1" ht="17.25" spans="1:7">
      <c r="A51" s="461"/>
      <c r="B51" s="461"/>
      <c r="C51" s="462"/>
      <c r="D51" s="463"/>
      <c r="E51" s="464"/>
      <c r="G51" s="185"/>
    </row>
    <row r="52" s="186" customFormat="1" spans="1:7">
      <c r="D52" s="185"/>
      <c r="G52" s="185"/>
    </row>
    <row r="53" s="186" customFormat="1" ht="21.75" customHeight="1" spans="1:7">
      <c r="A53" s="502"/>
      <c r="D53" s="185"/>
      <c r="G53" s="185"/>
    </row>
    <row r="54" s="186" customFormat="1" ht="21.75" customHeight="1" spans="1:7">
      <c r="A54" s="569"/>
      <c r="D54" s="185"/>
      <c r="G54" s="185"/>
    </row>
    <row r="55" s="186" customFormat="1" ht="21.75" customHeight="1" spans="1:7">
      <c r="A55" s="570" t="s">
        <v>254</v>
      </c>
      <c r="D55" s="185"/>
      <c r="G55" s="185"/>
    </row>
  </sheetData>
  <mergeCells count="20">
    <mergeCell ref="A1:D1"/>
    <mergeCell ref="A2:D2"/>
    <mergeCell ref="A4:D4"/>
    <mergeCell ref="A9:D9"/>
    <mergeCell ref="A10:D10"/>
    <mergeCell ref="A15:D15"/>
    <mergeCell ref="A17:D17"/>
    <mergeCell ref="A22:D22"/>
    <mergeCell ref="A24:D24"/>
    <mergeCell ref="A28:D28"/>
    <mergeCell ref="A29:D29"/>
    <mergeCell ref="A34:E34"/>
    <mergeCell ref="A46:E46"/>
    <mergeCell ref="A47:B47"/>
    <mergeCell ref="A48:B48"/>
    <mergeCell ref="A49:B49"/>
    <mergeCell ref="A50:B50"/>
    <mergeCell ref="A51:B51"/>
    <mergeCell ref="A36:A44"/>
    <mergeCell ref="E48:E51"/>
  </mergeCells>
  <pageMargins left="1.18110236220472" right="0.748031496062992" top="0.196850393700787" bottom="0.196850393700787" header="0.511811023622047" footer="0.511811023622047"/>
  <pageSetup paperSize="9" scale="63" orientation="portrait" horizontalDpi="360" verticalDpi="360"/>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5"/>
  <sheetViews>
    <sheetView topLeftCell="A12" workbookViewId="0">
      <selection activeCell="F31" sqref="A19:F31"/>
    </sheetView>
  </sheetViews>
  <sheetFormatPr defaultColWidth="9.14285714285714" defaultRowHeight="15.75" outlineLevelCol="7"/>
  <cols>
    <col min="1" max="3" width="35.7142857142857" style="186" customWidth="1"/>
    <col min="4" max="4" width="35.7142857142857" style="185" customWidth="1"/>
    <col min="5" max="5" width="35.7142857142857" style="186" customWidth="1"/>
    <col min="6" max="6" width="17.7142857142857" style="186" customWidth="1"/>
    <col min="7" max="7" width="15.7142857142857" style="185" customWidth="1"/>
    <col min="8" max="8" width="15.7142857142857" style="186" customWidth="1"/>
    <col min="9" max="16384" width="9.14285714285714" style="186"/>
  </cols>
  <sheetData>
    <row r="1" s="186" customFormat="1" ht="38.25" customHeight="1" spans="1:7">
      <c r="A1" s="409" t="s">
        <v>255</v>
      </c>
      <c r="B1" s="409"/>
      <c r="C1" s="409"/>
      <c r="D1" s="409"/>
      <c r="E1" s="400"/>
      <c r="G1" s="185"/>
    </row>
    <row r="2" s="186" customFormat="1" ht="60" customHeight="1" spans="1:7">
      <c r="A2" s="215" t="s">
        <v>256</v>
      </c>
      <c r="B2" s="216"/>
      <c r="C2" s="216"/>
      <c r="D2" s="217"/>
      <c r="E2" s="200"/>
      <c r="G2" s="185"/>
    </row>
    <row r="3" s="186" customFormat="1" ht="5.1" customHeight="1" spans="1:7">
      <c r="A3" s="183"/>
      <c r="B3" s="529"/>
      <c r="C3" s="183"/>
      <c r="D3" s="183"/>
      <c r="E3" s="183"/>
      <c r="G3" s="185"/>
    </row>
    <row r="4" s="186" customFormat="1" ht="18.75" customHeight="1" spans="1:7">
      <c r="A4" s="530" t="s">
        <v>27</v>
      </c>
      <c r="B4" s="531"/>
      <c r="C4" s="531"/>
      <c r="D4" s="532"/>
      <c r="E4" s="405"/>
      <c r="G4" s="185"/>
    </row>
    <row r="5" s="186" customFormat="1" ht="17.25" customHeight="1" spans="1:7">
      <c r="A5" s="533" t="s">
        <v>253</v>
      </c>
      <c r="B5" s="534" t="s">
        <v>257</v>
      </c>
      <c r="C5" s="534" t="s">
        <v>258</v>
      </c>
      <c r="D5" s="535" t="s">
        <v>241</v>
      </c>
      <c r="E5" s="181"/>
      <c r="G5" s="185"/>
    </row>
    <row r="6" s="186" customFormat="1" spans="1:7">
      <c r="A6" s="453">
        <v>0.1875</v>
      </c>
      <c r="B6" s="291">
        <v>0.197916666666667</v>
      </c>
      <c r="C6" s="291">
        <v>0.211805555555556</v>
      </c>
      <c r="D6" s="536">
        <v>0.225694444444444</v>
      </c>
      <c r="E6" s="537" t="s">
        <v>259</v>
      </c>
      <c r="G6" s="185"/>
    </row>
    <row r="7" s="186" customFormat="1" spans="1:7">
      <c r="A7" s="453">
        <v>0.246527777777778</v>
      </c>
      <c r="B7" s="291"/>
      <c r="C7" s="291"/>
      <c r="D7" s="536"/>
      <c r="E7" s="373"/>
      <c r="G7" s="185"/>
    </row>
    <row r="8" s="186" customFormat="1" ht="16.5" spans="1:7">
      <c r="A8" s="538">
        <v>0.590277777777778</v>
      </c>
      <c r="B8" s="423">
        <v>0.597222222222222</v>
      </c>
      <c r="C8" s="423">
        <v>0.611111111111111</v>
      </c>
      <c r="D8" s="424">
        <v>0.635416666666667</v>
      </c>
      <c r="E8" s="537" t="s">
        <v>260</v>
      </c>
      <c r="G8" s="185"/>
    </row>
    <row r="9" s="186" customFormat="1" ht="5.1" customHeight="1" spans="1:7">
      <c r="A9" s="181"/>
      <c r="B9" s="181"/>
      <c r="C9" s="181"/>
      <c r="D9" s="181"/>
      <c r="E9" s="181"/>
      <c r="G9" s="185"/>
    </row>
    <row r="10" s="186" customFormat="1" ht="5.1" customHeight="1" spans="1:7">
      <c r="A10" s="181"/>
      <c r="B10" s="181"/>
      <c r="C10" s="181"/>
      <c r="D10" s="181"/>
      <c r="E10" s="181"/>
      <c r="G10" s="185"/>
    </row>
    <row r="11" s="186" customFormat="1" ht="5.1" customHeight="1" spans="1:7">
      <c r="A11" s="181"/>
      <c r="B11" s="181"/>
      <c r="C11" s="181"/>
      <c r="D11" s="181"/>
      <c r="E11" s="181"/>
      <c r="G11" s="185"/>
    </row>
    <row r="12" s="186" customFormat="1" ht="54.75" customHeight="1" spans="1:7">
      <c r="A12" s="196" t="s">
        <v>261</v>
      </c>
      <c r="B12" s="197"/>
      <c r="C12" s="197"/>
      <c r="D12" s="198"/>
      <c r="E12" s="200"/>
      <c r="G12" s="185"/>
    </row>
    <row r="13" s="186" customFormat="1" ht="5.1" customHeight="1" spans="1:7">
      <c r="A13" s="183"/>
      <c r="B13" s="183"/>
      <c r="C13" s="183"/>
      <c r="D13" s="183"/>
      <c r="E13" s="183"/>
      <c r="G13" s="185"/>
    </row>
    <row r="14" s="186" customFormat="1" ht="18.75" customHeight="1" spans="1:7">
      <c r="A14" s="415" t="s">
        <v>27</v>
      </c>
      <c r="B14" s="416"/>
      <c r="C14" s="416"/>
      <c r="D14" s="417"/>
      <c r="E14" s="405"/>
      <c r="G14" s="185"/>
    </row>
    <row r="15" s="186" customFormat="1" ht="17.25" spans="1:7">
      <c r="A15" s="235" t="s">
        <v>262</v>
      </c>
      <c r="B15" s="236" t="s">
        <v>241</v>
      </c>
      <c r="C15" s="236" t="s">
        <v>253</v>
      </c>
      <c r="D15" s="539" t="s">
        <v>63</v>
      </c>
      <c r="G15" s="185"/>
    </row>
    <row r="16" s="186" customFormat="1" spans="1:7">
      <c r="A16" s="453" t="s">
        <v>8</v>
      </c>
      <c r="B16" s="291">
        <v>0.645833333333333</v>
      </c>
      <c r="C16" s="291">
        <v>0.659722222222222</v>
      </c>
      <c r="D16" s="536">
        <v>0.680555555555555</v>
      </c>
      <c r="E16" s="359" t="s">
        <v>259</v>
      </c>
      <c r="G16" s="185"/>
    </row>
    <row r="17" s="186" customFormat="1" ht="16.5" spans="1:8">
      <c r="A17" s="238">
        <v>0.690972222222222</v>
      </c>
      <c r="B17" s="239"/>
      <c r="C17" s="239"/>
      <c r="D17" s="240"/>
      <c r="G17" s="185"/>
    </row>
    <row r="18" s="182" customFormat="1" ht="5.1" customHeight="1" spans="1:8">
      <c r="C18" s="212"/>
      <c r="D18" s="213"/>
      <c r="E18" s="212"/>
      <c r="F18" s="212"/>
      <c r="G18" s="213"/>
      <c r="H18" s="212"/>
    </row>
    <row r="19" s="184" customFormat="1" ht="32.25" customHeight="1" spans="1:8">
      <c r="A19" s="258"/>
      <c r="B19" s="259"/>
      <c r="C19" s="259"/>
      <c r="D19" s="259"/>
      <c r="E19" s="259"/>
    </row>
    <row r="20" s="186" customFormat="1" spans="1:8">
      <c r="A20" s="260"/>
      <c r="B20" s="260"/>
      <c r="C20" s="261"/>
      <c r="D20" s="262"/>
      <c r="E20" s="262"/>
    </row>
    <row r="21" s="186" customFormat="1" ht="35.25" customHeight="1" spans="1:8">
      <c r="A21" s="264"/>
      <c r="B21" s="301"/>
      <c r="C21" s="266"/>
      <c r="D21" s="267"/>
      <c r="E21" s="268"/>
      <c r="F21" s="186"/>
      <c r="G21" s="263"/>
    </row>
    <row r="22" s="186" customFormat="1" ht="36.75" customHeight="1" spans="1:8">
      <c r="A22" s="264"/>
      <c r="B22" s="301"/>
      <c r="C22" s="266"/>
      <c r="D22" s="267"/>
      <c r="E22" s="268"/>
      <c r="F22" s="186"/>
      <c r="G22" s="263"/>
    </row>
    <row r="23" s="186" customFormat="1" ht="35.25" customHeight="1" spans="1:8">
      <c r="A23" s="264"/>
      <c r="B23" s="301"/>
      <c r="C23" s="266"/>
      <c r="D23" s="267"/>
      <c r="E23" s="268"/>
      <c r="F23" s="186"/>
      <c r="G23" s="329"/>
    </row>
    <row r="24" s="186" customFormat="1" ht="36.75" customHeight="1" spans="1:8">
      <c r="A24" s="264"/>
      <c r="B24" s="301"/>
      <c r="C24" s="266"/>
      <c r="D24" s="267"/>
      <c r="E24" s="268"/>
      <c r="F24" s="186"/>
      <c r="G24" s="540"/>
    </row>
    <row r="25" s="186" customFormat="1" ht="37.5" customHeight="1" spans="1:8">
      <c r="A25" s="264"/>
      <c r="B25" s="541"/>
      <c r="C25" s="266"/>
      <c r="D25" s="267"/>
      <c r="E25" s="268"/>
      <c r="F25" s="186"/>
      <c r="G25" s="329"/>
    </row>
    <row r="26" s="186" customFormat="1" ht="7.5" customHeight="1" spans="1:8">
      <c r="A26" s="269"/>
      <c r="B26" s="270"/>
      <c r="C26" s="271"/>
      <c r="D26" s="272"/>
      <c r="E26" s="272"/>
    </row>
    <row r="27" s="186" customFormat="1" ht="24.95" customHeight="1" spans="1:8">
      <c r="A27" s="273"/>
      <c r="B27" s="274"/>
      <c r="C27" s="274"/>
      <c r="D27" s="274"/>
      <c r="E27" s="407"/>
      <c r="G27" s="185"/>
    </row>
    <row r="28" s="186" customFormat="1" ht="24.95" customHeight="1" spans="1:8">
      <c r="A28" s="277"/>
      <c r="B28" s="277"/>
      <c r="C28" s="277"/>
      <c r="D28" s="277"/>
      <c r="E28" s="277"/>
      <c r="G28" s="185"/>
    </row>
    <row r="29" s="186" customFormat="1" ht="24.95" customHeight="1" spans="1:8">
      <c r="A29" s="280"/>
      <c r="B29" s="280"/>
      <c r="C29" s="281"/>
      <c r="D29" s="282"/>
      <c r="E29" s="503"/>
      <c r="G29" s="185"/>
    </row>
    <row r="30" s="186" customFormat="1" ht="24.95" customHeight="1" spans="1:8">
      <c r="A30" s="280"/>
      <c r="B30" s="280"/>
      <c r="C30" s="281"/>
      <c r="D30" s="282"/>
      <c r="E30" s="504"/>
      <c r="G30" s="185"/>
    </row>
    <row r="31" s="186" customFormat="1" ht="20.1" customHeight="1" spans="1:8">
      <c r="A31" s="280"/>
      <c r="B31" s="280"/>
      <c r="C31" s="281"/>
      <c r="D31" s="282"/>
      <c r="E31" s="505"/>
      <c r="G31" s="185"/>
    </row>
    <row r="32" s="186" customFormat="1" ht="5.1" customHeight="1" spans="1:8">
      <c r="D32" s="185"/>
      <c r="G32" s="185"/>
    </row>
    <row r="33" s="186" customFormat="1" ht="5.1" customHeight="1" spans="4:7">
      <c r="D33" s="185"/>
      <c r="G33" s="185"/>
    </row>
    <row r="34" s="186" customFormat="1" ht="5.1" customHeight="1" spans="4:7">
      <c r="D34" s="185"/>
      <c r="G34" s="185"/>
    </row>
    <row r="35" s="186" customFormat="1" ht="5.1" customHeight="1" spans="4:7">
      <c r="D35" s="185"/>
      <c r="G35" s="185"/>
    </row>
  </sheetData>
  <mergeCells count="13">
    <mergeCell ref="A1:D1"/>
    <mergeCell ref="A2:D2"/>
    <mergeCell ref="A4:D4"/>
    <mergeCell ref="A12:D12"/>
    <mergeCell ref="A14:D14"/>
    <mergeCell ref="A19:E19"/>
    <mergeCell ref="A27:E27"/>
    <mergeCell ref="A28:B28"/>
    <mergeCell ref="A29:B29"/>
    <mergeCell ref="A30:B30"/>
    <mergeCell ref="A31:B31"/>
    <mergeCell ref="A21:A25"/>
    <mergeCell ref="E29:E31"/>
  </mergeCells>
  <pageMargins left="1.18110236220472" right="0.748031496062992" top="0.196850393700787" bottom="0.196850393700787" header="0.511811023622047" footer="0.511811023622047"/>
  <pageSetup paperSize="9" scale="63" orientation="portrait" horizontalDpi="360" verticalDpi="360"/>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6"/>
  <sheetViews>
    <sheetView topLeftCell="A14" workbookViewId="0">
      <selection activeCell="F23" sqref="A22:F23"/>
    </sheetView>
  </sheetViews>
  <sheetFormatPr defaultColWidth="9.14285714285714" defaultRowHeight="15.75" outlineLevelCol="7"/>
  <cols>
    <col min="1" max="3" width="35.7142857142857" style="186" customWidth="1"/>
    <col min="4" max="4" width="35.7142857142857" style="185" customWidth="1"/>
    <col min="5" max="5" width="35.7142857142857" style="186" customWidth="1"/>
    <col min="6" max="6" width="17.7142857142857" style="359" customWidth="1"/>
    <col min="7" max="7" width="15.7142857142857" style="185" customWidth="1"/>
    <col min="8" max="8" width="15.7142857142857" style="186" customWidth="1"/>
    <col min="9" max="16384" width="9.14285714285714" style="186"/>
  </cols>
  <sheetData>
    <row r="1" s="186" customFormat="1" ht="30.75" customHeight="1" spans="1:7">
      <c r="A1" s="188" t="s">
        <v>263</v>
      </c>
      <c r="B1" s="189"/>
      <c r="C1" s="190"/>
      <c r="D1" s="400"/>
      <c r="F1" s="359"/>
      <c r="G1" s="185"/>
    </row>
    <row r="2" s="186" customFormat="1" ht="100.5" customHeight="1" spans="1:7">
      <c r="A2" s="466" t="s">
        <v>264</v>
      </c>
      <c r="B2" s="467"/>
      <c r="C2" s="468"/>
      <c r="D2" s="199"/>
      <c r="F2" s="359"/>
      <c r="G2" s="185"/>
    </row>
    <row r="3" s="186" customFormat="1" ht="24.95" customHeight="1" spans="1:7">
      <c r="A3" s="506" t="s">
        <v>27</v>
      </c>
      <c r="B3" s="507"/>
      <c r="C3" s="508"/>
      <c r="D3" s="492"/>
      <c r="F3" s="359"/>
      <c r="G3" s="185"/>
    </row>
    <row r="4" s="186" customFormat="1" ht="42.95" customHeight="1" spans="1:7">
      <c r="A4" s="509" t="s">
        <v>218</v>
      </c>
      <c r="B4" s="509" t="s">
        <v>241</v>
      </c>
      <c r="C4" s="509" t="s">
        <v>265</v>
      </c>
      <c r="D4" s="359"/>
      <c r="F4" s="359"/>
      <c r="G4" s="185"/>
    </row>
    <row r="5" s="186" customFormat="1" ht="20.1" customHeight="1" spans="1:7">
      <c r="A5" s="510">
        <v>0.0138888888888889</v>
      </c>
      <c r="B5" s="511">
        <v>0.03125</v>
      </c>
      <c r="C5" s="512">
        <v>0.0659722222222222</v>
      </c>
      <c r="D5" s="359" t="s">
        <v>260</v>
      </c>
      <c r="F5" s="359"/>
      <c r="G5" s="185"/>
    </row>
    <row r="6" s="186" customFormat="1" ht="5.1" customHeight="1" spans="1:7">
      <c r="A6" s="513"/>
      <c r="B6" s="513"/>
      <c r="C6" s="513"/>
      <c r="D6" s="492"/>
      <c r="F6" s="359"/>
      <c r="G6" s="185"/>
    </row>
    <row r="7" s="186" customFormat="1" ht="114" customHeight="1" spans="1:7">
      <c r="A7" s="514" t="s">
        <v>266</v>
      </c>
      <c r="B7" s="515"/>
      <c r="C7" s="516"/>
      <c r="D7" s="492"/>
      <c r="F7" s="359"/>
      <c r="G7" s="185"/>
    </row>
    <row r="8" s="186" customFormat="1" ht="21" spans="1:7">
      <c r="A8" s="506" t="s">
        <v>27</v>
      </c>
      <c r="B8" s="507"/>
      <c r="C8" s="508"/>
      <c r="D8" s="492"/>
      <c r="F8" s="359"/>
      <c r="G8" s="185"/>
    </row>
    <row r="9" s="186" customFormat="1" ht="33.75" spans="1:7">
      <c r="A9" s="517" t="s">
        <v>267</v>
      </c>
      <c r="B9" s="509" t="s">
        <v>241</v>
      </c>
      <c r="C9" s="517" t="s">
        <v>268</v>
      </c>
      <c r="D9" s="359"/>
      <c r="F9" s="359"/>
      <c r="G9" s="185"/>
    </row>
    <row r="10" s="186" customFormat="1" ht="16.5" spans="1:7">
      <c r="A10" s="518">
        <v>0.190972222222222</v>
      </c>
      <c r="B10" s="519">
        <v>0.225694444444444</v>
      </c>
      <c r="C10" s="520">
        <v>0.246527777777778</v>
      </c>
      <c r="D10" s="359" t="s">
        <v>259</v>
      </c>
      <c r="F10" s="359"/>
      <c r="G10" s="185"/>
    </row>
    <row r="11" s="186" customFormat="1" ht="5.1" customHeight="1" spans="1:7">
      <c r="A11" s="521"/>
      <c r="B11" s="522"/>
      <c r="C11" s="522"/>
      <c r="D11" s="492"/>
      <c r="F11" s="359"/>
      <c r="G11" s="185"/>
    </row>
    <row r="12" s="186" customFormat="1" ht="103.5" customHeight="1" spans="1:7">
      <c r="A12" s="514" t="s">
        <v>269</v>
      </c>
      <c r="B12" s="515"/>
      <c r="C12" s="516"/>
      <c r="D12" s="492"/>
      <c r="F12" s="359"/>
      <c r="G12" s="185"/>
    </row>
    <row r="13" s="186" customFormat="1" ht="25.35" customHeight="1" spans="1:7">
      <c r="A13" s="506" t="s">
        <v>27</v>
      </c>
      <c r="B13" s="507"/>
      <c r="C13" s="508"/>
      <c r="D13" s="492"/>
      <c r="F13" s="359"/>
      <c r="G13" s="185"/>
    </row>
    <row r="14" s="186" customFormat="1" ht="20.1" customHeight="1" spans="1:7">
      <c r="A14" s="523" t="s">
        <v>270</v>
      </c>
      <c r="B14" s="524" t="s">
        <v>170</v>
      </c>
      <c r="C14" s="509" t="s">
        <v>241</v>
      </c>
      <c r="D14" s="492"/>
      <c r="F14" s="359"/>
      <c r="G14" s="185"/>
    </row>
    <row r="15" s="186" customFormat="1" ht="20.1" customHeight="1" spans="1:7">
      <c r="A15" s="525">
        <v>0.590277777777778</v>
      </c>
      <c r="B15" s="220">
        <v>0.59375</v>
      </c>
      <c r="C15" s="512">
        <v>0.625</v>
      </c>
      <c r="D15" s="492" t="s">
        <v>260</v>
      </c>
      <c r="F15" s="359"/>
      <c r="G15" s="185"/>
    </row>
    <row r="16" s="186" customFormat="1" ht="5.1" customHeight="1" spans="1:7">
      <c r="A16" s="526"/>
      <c r="B16" s="527"/>
      <c r="C16" s="527"/>
      <c r="D16" s="492"/>
      <c r="F16" s="359"/>
      <c r="G16" s="185"/>
    </row>
    <row r="17" s="186" customFormat="1" ht="88.5" customHeight="1" spans="1:8">
      <c r="A17" s="514" t="s">
        <v>271</v>
      </c>
      <c r="B17" s="515"/>
      <c r="C17" s="516"/>
      <c r="D17" s="492"/>
      <c r="F17" s="359"/>
      <c r="G17" s="185"/>
    </row>
    <row r="18" s="186" customFormat="1" ht="21" spans="1:8">
      <c r="A18" s="506" t="s">
        <v>27</v>
      </c>
      <c r="B18" s="507"/>
      <c r="C18" s="508"/>
      <c r="D18" s="492"/>
      <c r="F18" s="359"/>
      <c r="G18" s="185"/>
    </row>
    <row r="19" s="186" customFormat="1" ht="16.5" spans="1:8">
      <c r="A19" s="509" t="s">
        <v>241</v>
      </c>
      <c r="B19" s="509" t="s">
        <v>170</v>
      </c>
      <c r="C19" s="509" t="s">
        <v>270</v>
      </c>
      <c r="D19" s="492"/>
      <c r="F19" s="359"/>
      <c r="G19" s="185"/>
    </row>
    <row r="20" s="186" customFormat="1" ht="16.5" spans="1:8">
      <c r="A20" s="510">
        <v>0.645833333333333</v>
      </c>
      <c r="B20" s="528">
        <v>0.680555555555555</v>
      </c>
      <c r="C20" s="512">
        <v>0.6875</v>
      </c>
      <c r="D20" s="492" t="s">
        <v>259</v>
      </c>
      <c r="F20" s="359"/>
      <c r="G20" s="185"/>
    </row>
    <row r="21" s="182" customFormat="1" ht="4.5" customHeight="1" spans="1:8">
      <c r="C21" s="212"/>
      <c r="D21" s="213"/>
      <c r="E21" s="212"/>
      <c r="F21" s="495"/>
      <c r="G21" s="213"/>
      <c r="H21" s="212"/>
    </row>
    <row r="22" s="184" customFormat="1" ht="24.95" customHeight="1" spans="1:8">
      <c r="A22" s="258"/>
      <c r="B22" s="259"/>
      <c r="C22" s="259"/>
      <c r="D22" s="259"/>
      <c r="E22" s="496"/>
      <c r="F22" s="497"/>
    </row>
    <row r="23" s="186" customFormat="1" spans="1:8">
      <c r="A23" s="260"/>
      <c r="B23" s="260"/>
      <c r="C23" s="261"/>
      <c r="D23" s="262"/>
      <c r="E23" s="262"/>
      <c r="F23" s="359"/>
    </row>
    <row r="24" s="186" customFormat="1" ht="45" customHeight="1" spans="1:8">
      <c r="A24" s="264"/>
      <c r="B24" s="265"/>
      <c r="C24" s="427"/>
      <c r="D24" s="303"/>
      <c r="E24" s="268"/>
      <c r="F24" s="359"/>
      <c r="G24" s="263" t="s">
        <v>259</v>
      </c>
    </row>
    <row r="25" s="186" customFormat="1" ht="54" customHeight="1" spans="1:8">
      <c r="A25" s="264"/>
      <c r="B25" s="265"/>
      <c r="C25" s="427"/>
      <c r="D25" s="303"/>
      <c r="E25" s="268"/>
      <c r="F25" s="359"/>
      <c r="G25" s="329" t="s">
        <v>260</v>
      </c>
    </row>
    <row r="26" s="186" customFormat="1" ht="50.25" customHeight="1" spans="1:8">
      <c r="A26" s="264"/>
      <c r="B26" s="406"/>
      <c r="C26" s="427"/>
      <c r="D26" s="303"/>
      <c r="E26" s="268"/>
      <c r="F26" s="359"/>
      <c r="G26" s="329" t="s">
        <v>260</v>
      </c>
    </row>
    <row r="27" s="186" customFormat="1" ht="48" customHeight="1" spans="1:8">
      <c r="A27" s="264"/>
      <c r="B27" s="265"/>
      <c r="C27" s="427"/>
      <c r="D27" s="303"/>
      <c r="E27" s="268"/>
      <c r="F27" s="359"/>
      <c r="G27" s="186" t="s">
        <v>259</v>
      </c>
    </row>
    <row r="28" s="186" customFormat="1" ht="32" customHeight="1" spans="1:8">
      <c r="A28" s="264"/>
      <c r="B28" s="265"/>
      <c r="C28" s="427"/>
      <c r="D28" s="303"/>
      <c r="E28" s="268"/>
      <c r="F28" s="359"/>
      <c r="G28" s="186" t="s">
        <v>260</v>
      </c>
    </row>
    <row r="29" s="186" customFormat="1" ht="34" customHeight="1" spans="1:8">
      <c r="A29" s="264"/>
      <c r="B29" s="265"/>
      <c r="C29" s="427"/>
      <c r="D29" s="303"/>
      <c r="E29" s="268"/>
      <c r="F29" s="359"/>
      <c r="G29" s="186" t="s">
        <v>259</v>
      </c>
    </row>
    <row r="30" s="186" customFormat="1" ht="7.5" customHeight="1" spans="1:8">
      <c r="A30" s="269"/>
      <c r="B30" s="270"/>
      <c r="C30" s="271"/>
      <c r="D30" s="272"/>
      <c r="E30" s="272"/>
      <c r="F30" s="359"/>
    </row>
    <row r="31" s="186" customFormat="1" ht="24.95" customHeight="1" spans="1:8">
      <c r="A31" s="428"/>
      <c r="B31" s="428"/>
      <c r="C31" s="428"/>
      <c r="D31" s="428"/>
      <c r="E31" s="428"/>
      <c r="F31" s="359"/>
      <c r="G31" s="185"/>
      <c r="H31" s="1113" t="s">
        <v>72</v>
      </c>
    </row>
    <row r="32" s="186" customFormat="1" ht="24.95" customHeight="1" spans="1:8">
      <c r="A32" s="429"/>
      <c r="B32" s="429"/>
      <c r="C32" s="429"/>
      <c r="D32" s="429"/>
      <c r="E32" s="429"/>
      <c r="F32" s="359"/>
      <c r="G32" s="185"/>
    </row>
    <row r="33" s="186" customFormat="1" ht="20.1" customHeight="1" spans="1:7">
      <c r="A33" s="394"/>
      <c r="B33" s="394"/>
      <c r="C33" s="395"/>
      <c r="D33" s="430"/>
      <c r="E33" s="431"/>
      <c r="F33" s="359"/>
      <c r="G33" s="185"/>
    </row>
    <row r="34" s="186" customFormat="1" ht="20.1" customHeight="1" spans="1:7">
      <c r="A34" s="394"/>
      <c r="B34" s="394"/>
      <c r="C34" s="395"/>
      <c r="D34" s="430"/>
      <c r="E34" s="431"/>
      <c r="F34" s="359"/>
      <c r="G34" s="185"/>
    </row>
    <row r="35" s="186" customFormat="1" ht="17.25" spans="1:7">
      <c r="A35" s="394"/>
      <c r="B35" s="394"/>
      <c r="C35" s="395"/>
      <c r="D35" s="430"/>
      <c r="E35" s="431"/>
      <c r="F35" s="359"/>
      <c r="G35" s="185"/>
    </row>
    <row r="36" s="186" customFormat="1" spans="1:7">
      <c r="D36" s="427"/>
      <c r="F36" s="359"/>
      <c r="G36" s="185"/>
    </row>
  </sheetData>
  <mergeCells count="17">
    <mergeCell ref="A1:C1"/>
    <mergeCell ref="A2:C2"/>
    <mergeCell ref="A3:C3"/>
    <mergeCell ref="A7:C7"/>
    <mergeCell ref="A8:C8"/>
    <mergeCell ref="A12:C12"/>
    <mergeCell ref="A13:C13"/>
    <mergeCell ref="A17:C17"/>
    <mergeCell ref="A18:C18"/>
    <mergeCell ref="A22:E22"/>
    <mergeCell ref="A31:E31"/>
    <mergeCell ref="A32:B32"/>
    <mergeCell ref="A33:B33"/>
    <mergeCell ref="A34:B34"/>
    <mergeCell ref="A35:B35"/>
    <mergeCell ref="A24:A29"/>
    <mergeCell ref="E33:E35"/>
  </mergeCells>
  <pageMargins left="1.18110236220472" right="0.748031496062992" top="0.196850393700787" bottom="0.196850393700787" header="0.511811023622047" footer="0.511811023622047"/>
  <pageSetup paperSize="9" scale="85" orientation="portrait" horizontalDpi="300" verticalDpi="300"/>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4"/>
  <sheetViews>
    <sheetView topLeftCell="A17" workbookViewId="0">
      <selection activeCell="H36" sqref="A22:H36"/>
    </sheetView>
  </sheetViews>
  <sheetFormatPr defaultColWidth="9.14285714285714" defaultRowHeight="15.75" outlineLevelCol="7"/>
  <cols>
    <col min="1" max="1" width="35.7142857142857" style="186" customWidth="1"/>
    <col min="2" max="2" width="36.4285714285714" style="186" customWidth="1"/>
    <col min="3" max="3" width="35.7142857142857" style="186" customWidth="1"/>
    <col min="4" max="4" width="35.7142857142857" style="185" customWidth="1"/>
    <col min="5" max="5" width="35.7142857142857" style="186" customWidth="1"/>
    <col min="6" max="6" width="17.7142857142857" style="359" customWidth="1"/>
    <col min="7" max="7" width="15.7142857142857" style="185" customWidth="1"/>
    <col min="8" max="8" width="15.7142857142857" style="186" customWidth="1"/>
    <col min="9" max="16384" width="9.14285714285714" style="186"/>
  </cols>
  <sheetData>
    <row r="1" s="186" customFormat="1" ht="30.75" customHeight="1" spans="1:7">
      <c r="A1" s="465" t="s">
        <v>272</v>
      </c>
      <c r="B1" s="409"/>
      <c r="C1" s="409"/>
      <c r="D1" s="409"/>
      <c r="F1" s="359"/>
      <c r="G1" s="185"/>
    </row>
    <row r="2" s="186" customFormat="1" ht="55" customHeight="1" spans="1:7">
      <c r="A2" s="466" t="s">
        <v>273</v>
      </c>
      <c r="B2" s="467"/>
      <c r="C2" s="467"/>
      <c r="D2" s="468"/>
      <c r="F2" s="359"/>
      <c r="G2" s="185"/>
    </row>
    <row r="3" s="186" customFormat="1" ht="24" customHeight="1" spans="1:7">
      <c r="A3" s="469" t="s">
        <v>27</v>
      </c>
      <c r="B3" s="470"/>
      <c r="C3" s="470"/>
      <c r="D3" s="471"/>
      <c r="F3" s="359"/>
      <c r="G3" s="185"/>
    </row>
    <row r="4" s="186" customFormat="1" ht="18.75" customHeight="1" spans="1:7">
      <c r="A4" s="472" t="s">
        <v>241</v>
      </c>
      <c r="B4" s="473"/>
      <c r="C4" s="472" t="s">
        <v>265</v>
      </c>
      <c r="D4" s="473"/>
      <c r="F4" s="359"/>
      <c r="G4" s="185"/>
    </row>
    <row r="5" s="186" customFormat="1" ht="18.75" customHeight="1" spans="1:7">
      <c r="A5" s="474">
        <v>0.03125</v>
      </c>
      <c r="B5" s="475"/>
      <c r="C5" s="476">
        <v>0.0520833333333333</v>
      </c>
      <c r="D5" s="477"/>
      <c r="E5" s="186" t="s">
        <v>260</v>
      </c>
      <c r="F5" s="359"/>
      <c r="G5" s="185"/>
    </row>
    <row r="6" s="186" customFormat="1" ht="4" customHeight="1" spans="1:7">
      <c r="A6" s="478"/>
      <c r="B6" s="479"/>
      <c r="C6" s="479"/>
      <c r="D6" s="207"/>
      <c r="F6" s="359"/>
      <c r="G6" s="185"/>
    </row>
    <row r="7" s="186" customFormat="1" ht="56" customHeight="1" spans="1:7">
      <c r="A7" s="480" t="s">
        <v>274</v>
      </c>
      <c r="B7" s="481"/>
      <c r="C7" s="481"/>
      <c r="D7" s="482"/>
      <c r="F7" s="359"/>
      <c r="G7" s="185"/>
    </row>
    <row r="8" s="186" customFormat="1" ht="18.75" customHeight="1" spans="1:7">
      <c r="A8" s="483" t="s">
        <v>27</v>
      </c>
      <c r="B8" s="484"/>
      <c r="C8" s="484"/>
      <c r="D8" s="485"/>
      <c r="F8" s="359"/>
      <c r="G8" s="185"/>
    </row>
    <row r="9" s="186" customFormat="1" ht="35.1" customHeight="1" spans="1:7">
      <c r="A9" s="218" t="s">
        <v>170</v>
      </c>
      <c r="B9" s="218" t="s">
        <v>275</v>
      </c>
      <c r="C9" s="218" t="s">
        <v>241</v>
      </c>
      <c r="D9" s="218" t="s">
        <v>244</v>
      </c>
      <c r="F9" s="359"/>
      <c r="G9" s="185"/>
    </row>
    <row r="10" s="186" customFormat="1" ht="16.5" spans="1:7">
      <c r="A10" s="219">
        <v>0.190972222222222</v>
      </c>
      <c r="B10" s="220">
        <v>0.208333333333333</v>
      </c>
      <c r="C10" s="220">
        <v>0.225694444444444</v>
      </c>
      <c r="D10" s="221">
        <v>0.246527777777778</v>
      </c>
      <c r="E10" s="186" t="s">
        <v>259</v>
      </c>
      <c r="F10" s="359"/>
      <c r="G10" s="185"/>
    </row>
    <row r="11" s="186" customFormat="1" ht="6" customHeight="1" spans="1:7">
      <c r="A11" s="486"/>
      <c r="B11" s="487"/>
      <c r="C11" s="487"/>
      <c r="D11" s="488"/>
      <c r="F11" s="359"/>
      <c r="G11" s="185"/>
    </row>
    <row r="12" s="186" customFormat="1" ht="26" customHeight="1" spans="1:7">
      <c r="A12" s="480" t="s">
        <v>276</v>
      </c>
      <c r="B12" s="481"/>
      <c r="C12" s="481"/>
      <c r="D12" s="482"/>
      <c r="F12" s="359"/>
      <c r="G12" s="185"/>
    </row>
    <row r="13" s="186" customFormat="1" ht="24" customHeight="1" spans="1:7">
      <c r="A13" s="483" t="s">
        <v>27</v>
      </c>
      <c r="B13" s="484"/>
      <c r="C13" s="484"/>
      <c r="D13" s="485"/>
      <c r="F13" s="359"/>
      <c r="G13" s="185"/>
    </row>
    <row r="14" s="186" customFormat="1" ht="21" customHeight="1" spans="1:7">
      <c r="A14" s="208" t="s">
        <v>127</v>
      </c>
      <c r="B14" s="209"/>
      <c r="C14" s="208" t="s">
        <v>241</v>
      </c>
      <c r="D14" s="209"/>
      <c r="F14" s="359"/>
      <c r="G14" s="185"/>
    </row>
    <row r="15" s="186" customFormat="1" ht="21" customHeight="1" spans="1:7">
      <c r="A15" s="476">
        <v>0.614583333333333</v>
      </c>
      <c r="B15" s="477"/>
      <c r="C15" s="210">
        <v>0.635416666666667</v>
      </c>
      <c r="D15" s="211"/>
      <c r="E15" s="489" t="s">
        <v>277</v>
      </c>
      <c r="F15" s="359" t="s">
        <v>260</v>
      </c>
      <c r="G15" s="185"/>
    </row>
    <row r="16" s="186" customFormat="1" ht="6" customHeight="1" spans="1:7">
      <c r="A16" s="483"/>
      <c r="B16" s="484"/>
      <c r="C16" s="193"/>
      <c r="D16" s="490"/>
      <c r="F16" s="359"/>
      <c r="G16" s="185"/>
    </row>
    <row r="17" s="186" customFormat="1" ht="56" customHeight="1" spans="1:8">
      <c r="A17" s="196" t="s">
        <v>278</v>
      </c>
      <c r="B17" s="197"/>
      <c r="C17" s="197"/>
      <c r="D17" s="198"/>
      <c r="F17" s="359"/>
      <c r="G17" s="185"/>
    </row>
    <row r="18" s="186" customFormat="1" ht="21" customHeight="1" spans="1:8">
      <c r="A18" s="192" t="s">
        <v>27</v>
      </c>
      <c r="B18" s="491"/>
      <c r="C18" s="491"/>
      <c r="D18" s="194"/>
      <c r="F18" s="359"/>
      <c r="G18" s="185"/>
    </row>
    <row r="19" s="186" customFormat="1" ht="16.5" spans="1:8">
      <c r="A19" s="235" t="s">
        <v>241</v>
      </c>
      <c r="B19" s="236"/>
      <c r="C19" s="236" t="s">
        <v>170</v>
      </c>
      <c r="D19" s="237"/>
      <c r="F19" s="492"/>
    </row>
    <row r="20" s="186" customFormat="1" ht="17.25" spans="1:8">
      <c r="A20" s="493">
        <v>0.645833333333333</v>
      </c>
      <c r="B20" s="494"/>
      <c r="C20" s="220">
        <v>0.666666666666667</v>
      </c>
      <c r="D20" s="221"/>
      <c r="E20" s="186" t="s">
        <v>259</v>
      </c>
      <c r="F20" s="492"/>
    </row>
    <row r="21" s="182" customFormat="1" ht="5.1" customHeight="1" spans="1:8">
      <c r="C21" s="212"/>
      <c r="D21" s="213"/>
      <c r="E21" s="212"/>
      <c r="F21" s="495"/>
      <c r="G21" s="213"/>
      <c r="H21" s="212"/>
    </row>
    <row r="22" s="184" customFormat="1" ht="39.4" customHeight="1" spans="1:8">
      <c r="A22" s="258"/>
      <c r="B22" s="259"/>
      <c r="C22" s="259"/>
      <c r="D22" s="259"/>
      <c r="E22" s="496"/>
      <c r="F22" s="497"/>
    </row>
    <row r="23" s="186" customFormat="1" ht="58.5" customHeight="1" spans="1:8">
      <c r="A23" s="260"/>
      <c r="B23" s="260"/>
      <c r="C23" s="261"/>
      <c r="D23" s="262"/>
      <c r="E23" s="262"/>
      <c r="F23" s="359"/>
      <c r="G23" s="359"/>
    </row>
    <row r="24" s="186" customFormat="1" ht="18.75" customHeight="1" spans="1:8">
      <c r="A24" s="264"/>
      <c r="B24" s="498"/>
      <c r="C24" s="266"/>
      <c r="D24" s="267"/>
      <c r="E24" s="268"/>
      <c r="F24" s="359"/>
      <c r="G24" s="499"/>
    </row>
    <row r="25" s="186" customFormat="1" spans="1:8">
      <c r="A25" s="264"/>
      <c r="B25" s="498"/>
      <c r="C25" s="266"/>
      <c r="D25" s="267"/>
      <c r="E25" s="268"/>
      <c r="F25" s="359"/>
      <c r="G25" s="500"/>
    </row>
    <row r="26" s="186" customFormat="1" spans="1:8">
      <c r="A26" s="264"/>
      <c r="B26" s="498"/>
      <c r="C26" s="266"/>
      <c r="D26" s="267"/>
      <c r="E26" s="268"/>
      <c r="F26" s="359"/>
      <c r="G26" s="501"/>
    </row>
    <row r="27" s="186" customFormat="1" spans="1:8">
      <c r="A27" s="264"/>
      <c r="B27" s="498"/>
      <c r="C27" s="266"/>
      <c r="D27" s="267"/>
      <c r="E27" s="268"/>
      <c r="F27" s="359"/>
      <c r="G27" s="501"/>
      <c r="H27" s="502"/>
    </row>
    <row r="28" s="186" customFormat="1" ht="7.5" customHeight="1" spans="1:8">
      <c r="A28" s="269"/>
      <c r="B28" s="270"/>
      <c r="C28" s="271"/>
      <c r="D28" s="272"/>
      <c r="E28" s="272"/>
      <c r="F28" s="359"/>
    </row>
    <row r="29" s="186" customFormat="1" ht="24.95" customHeight="1" spans="1:8">
      <c r="A29" s="273"/>
      <c r="B29" s="274"/>
      <c r="C29" s="274"/>
      <c r="D29" s="274"/>
      <c r="E29" s="407"/>
      <c r="F29" s="359"/>
      <c r="G29" s="185"/>
    </row>
    <row r="30" s="186" customFormat="1" ht="24.95" customHeight="1" spans="1:8">
      <c r="A30" s="277"/>
      <c r="B30" s="277"/>
      <c r="C30" s="277"/>
      <c r="D30" s="277"/>
      <c r="E30" s="277"/>
      <c r="F30" s="359"/>
      <c r="G30" s="185"/>
    </row>
    <row r="31" s="186" customFormat="1" ht="20.1" customHeight="1" spans="1:8">
      <c r="A31" s="280"/>
      <c r="B31" s="280"/>
      <c r="C31" s="281"/>
      <c r="D31" s="282"/>
      <c r="E31" s="503"/>
      <c r="F31" s="359"/>
      <c r="G31" s="185"/>
    </row>
    <row r="32" s="186" customFormat="1" ht="17.25" spans="1:8">
      <c r="A32" s="280"/>
      <c r="B32" s="280"/>
      <c r="C32" s="281"/>
      <c r="D32" s="282"/>
      <c r="E32" s="504"/>
      <c r="F32" s="359"/>
      <c r="G32" s="185"/>
    </row>
    <row r="33" s="186" customFormat="1" ht="17.25" spans="1:7">
      <c r="A33" s="394"/>
      <c r="B33" s="394"/>
      <c r="C33" s="395"/>
      <c r="D33" s="430"/>
      <c r="E33" s="505"/>
      <c r="F33" s="359"/>
      <c r="G33" s="185"/>
    </row>
    <row r="34" s="186" customFormat="1" spans="1:7">
      <c r="D34" s="266"/>
      <c r="F34" s="359"/>
      <c r="G34" s="185"/>
    </row>
  </sheetData>
  <mergeCells count="30">
    <mergeCell ref="A1:D1"/>
    <mergeCell ref="A2:D2"/>
    <mergeCell ref="A3:D3"/>
    <mergeCell ref="A4:B4"/>
    <mergeCell ref="C4:D4"/>
    <mergeCell ref="A5:B5"/>
    <mergeCell ref="C5:D5"/>
    <mergeCell ref="A7:D7"/>
    <mergeCell ref="A8:D8"/>
    <mergeCell ref="A12:D12"/>
    <mergeCell ref="A13:D13"/>
    <mergeCell ref="A14:B14"/>
    <mergeCell ref="C14:D14"/>
    <mergeCell ref="A15:B15"/>
    <mergeCell ref="C15:D15"/>
    <mergeCell ref="A16:D16"/>
    <mergeCell ref="A17:D17"/>
    <mergeCell ref="A18:D18"/>
    <mergeCell ref="A19:B19"/>
    <mergeCell ref="C19:D19"/>
    <mergeCell ref="A20:B20"/>
    <mergeCell ref="C20:D20"/>
    <mergeCell ref="A22:E22"/>
    <mergeCell ref="A29:E29"/>
    <mergeCell ref="A30:B30"/>
    <mergeCell ref="A31:B31"/>
    <mergeCell ref="A32:B32"/>
    <mergeCell ref="A33:B33"/>
    <mergeCell ref="A24:A27"/>
    <mergeCell ref="E31:E33"/>
  </mergeCells>
  <pageMargins left="1.18110236220472" right="0.748031496062992" top="0.196850393700787" bottom="0.196850393700787" header="0.511811023622047" footer="0.511811023622047"/>
  <pageSetup paperSize="9" scale="63" orientation="portrait" horizontalDpi="300" verticalDpi="300"/>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fitToPage="1"/>
  </sheetPr>
  <dimension ref="A1:H35"/>
  <sheetViews>
    <sheetView topLeftCell="A15" workbookViewId="0">
      <selection activeCell="F35" sqref="A20:F35"/>
    </sheetView>
  </sheetViews>
  <sheetFormatPr defaultColWidth="9.14285714285714" defaultRowHeight="15.75" outlineLevelCol="7"/>
  <cols>
    <col min="1" max="3" width="35.7142857142857" style="186" customWidth="1"/>
    <col min="4" max="4" width="35.7142857142857" style="185" customWidth="1"/>
    <col min="5" max="6" width="35.7142857142857" style="186" customWidth="1"/>
    <col min="7" max="7" width="15.7142857142857" style="185" customWidth="1"/>
    <col min="8" max="8" width="15.7142857142857" style="186" customWidth="1"/>
    <col min="9" max="16384" width="9.14285714285714" style="186"/>
  </cols>
  <sheetData>
    <row r="1" s="186" customFormat="1" ht="33.75" customHeight="1" spans="1:7">
      <c r="A1" s="354" t="s">
        <v>279</v>
      </c>
      <c r="B1" s="355"/>
      <c r="C1" s="355"/>
      <c r="D1" s="355"/>
      <c r="E1" s="355"/>
      <c r="F1" s="356"/>
      <c r="G1" s="185"/>
    </row>
    <row r="2" s="186" customFormat="1" ht="5.1" customHeight="1" spans="1:7">
      <c r="A2" s="434"/>
      <c r="B2" s="434"/>
      <c r="C2" s="434"/>
      <c r="D2" s="434"/>
      <c r="E2" s="434"/>
      <c r="F2" s="434"/>
      <c r="G2" s="185"/>
    </row>
    <row r="3" s="186" customFormat="1" ht="87" customHeight="1" spans="1:7">
      <c r="A3" s="435" t="s">
        <v>280</v>
      </c>
      <c r="B3" s="436"/>
      <c r="C3" s="436"/>
      <c r="D3" s="436"/>
      <c r="E3" s="436"/>
      <c r="F3" s="437"/>
      <c r="G3" s="185"/>
    </row>
    <row r="4" s="186" customFormat="1" ht="24.75" customHeight="1" spans="1:7">
      <c r="A4" s="438" t="s">
        <v>27</v>
      </c>
      <c r="B4" s="193"/>
      <c r="C4" s="193"/>
      <c r="D4" s="193"/>
      <c r="E4" s="193"/>
      <c r="F4" s="439"/>
      <c r="G4" s="185"/>
    </row>
    <row r="5" s="186" customFormat="1" ht="56.1" customHeight="1" spans="1:7">
      <c r="A5" s="201" t="s">
        <v>281</v>
      </c>
      <c r="B5" s="201" t="s">
        <v>241</v>
      </c>
      <c r="C5" s="201" t="s">
        <v>282</v>
      </c>
      <c r="D5" s="201" t="s">
        <v>56</v>
      </c>
      <c r="E5" s="201" t="s">
        <v>283</v>
      </c>
      <c r="F5" s="201" t="s">
        <v>63</v>
      </c>
    </row>
    <row r="6" s="186" customFormat="1" spans="1:7">
      <c r="A6" s="440">
        <v>0.0138888888888889</v>
      </c>
      <c r="B6" s="441">
        <v>0.03125</v>
      </c>
      <c r="C6" s="442">
        <v>0.0381944444444444</v>
      </c>
      <c r="D6" s="443">
        <v>0.0520833333333333</v>
      </c>
      <c r="E6" s="443">
        <v>0.0590277777777778</v>
      </c>
      <c r="F6" s="444">
        <v>0.0659722222222222</v>
      </c>
      <c r="G6" s="186" t="s">
        <v>260</v>
      </c>
    </row>
    <row r="7" s="186" customFormat="1" ht="16.5" spans="1:7">
      <c r="A7" s="238"/>
      <c r="B7" s="445" t="s">
        <v>8</v>
      </c>
      <c r="C7" s="445" t="s">
        <v>8</v>
      </c>
      <c r="D7" s="446" t="s">
        <v>8</v>
      </c>
      <c r="E7" s="446" t="s">
        <v>8</v>
      </c>
      <c r="F7" s="446" t="s">
        <v>8</v>
      </c>
    </row>
    <row r="8" s="186" customFormat="1" ht="5.1" customHeight="1" spans="1:7">
      <c r="A8" s="181"/>
      <c r="B8" s="181"/>
      <c r="C8" s="181"/>
      <c r="D8" s="181"/>
      <c r="E8" s="181"/>
      <c r="G8" s="185"/>
    </row>
    <row r="9" s="186" customFormat="1" ht="120.75" customHeight="1" spans="1:7">
      <c r="A9" s="402" t="s">
        <v>284</v>
      </c>
      <c r="B9" s="403"/>
      <c r="C9" s="403"/>
      <c r="D9" s="404"/>
      <c r="E9" s="200"/>
      <c r="G9" s="185"/>
    </row>
    <row r="10" s="186" customFormat="1" ht="18.75" customHeight="1" spans="1:7">
      <c r="A10" s="447" t="s">
        <v>27</v>
      </c>
      <c r="B10" s="448"/>
      <c r="C10" s="448"/>
      <c r="D10" s="449"/>
      <c r="E10" s="405"/>
      <c r="G10" s="185"/>
    </row>
    <row r="11" s="186" customFormat="1" spans="1:7">
      <c r="A11" s="450" t="s">
        <v>285</v>
      </c>
      <c r="B11" s="451" t="s">
        <v>286</v>
      </c>
      <c r="C11" s="451" t="s">
        <v>285</v>
      </c>
      <c r="D11" s="452" t="s">
        <v>287</v>
      </c>
      <c r="E11" s="200"/>
      <c r="G11" s="185"/>
    </row>
    <row r="12" s="186" customFormat="1" spans="1:7">
      <c r="A12" s="453">
        <v>0.180555555555556</v>
      </c>
      <c r="B12" s="454">
        <v>0.190972222222222</v>
      </c>
      <c r="C12" s="291">
        <v>0.211805555555556</v>
      </c>
      <c r="D12" s="455">
        <v>0.225694444444444</v>
      </c>
      <c r="E12" s="234"/>
      <c r="G12" s="185"/>
    </row>
    <row r="13" s="186" customFormat="1" ht="16.5" spans="1:7">
      <c r="A13" s="456">
        <v>0.246527777777778</v>
      </c>
      <c r="B13" s="239"/>
      <c r="C13" s="239"/>
      <c r="D13" s="240"/>
      <c r="E13" s="234"/>
      <c r="G13" s="185"/>
    </row>
    <row r="14" s="186" customFormat="1" ht="5.1" customHeight="1" spans="1:7">
      <c r="A14" s="181"/>
      <c r="B14" s="181"/>
      <c r="C14" s="181"/>
      <c r="D14" s="181"/>
      <c r="E14" s="181"/>
      <c r="G14" s="185"/>
    </row>
    <row r="15" s="186" customFormat="1" ht="63" customHeight="1" spans="1:7">
      <c r="A15" s="222" t="s">
        <v>288</v>
      </c>
      <c r="B15" s="223"/>
      <c r="C15" s="223"/>
      <c r="D15" s="224"/>
      <c r="E15" s="200"/>
      <c r="G15" s="185"/>
    </row>
    <row r="16" s="186" customFormat="1" ht="24.75" customHeight="1" spans="1:7">
      <c r="A16" s="447" t="s">
        <v>27</v>
      </c>
      <c r="B16" s="448"/>
      <c r="C16" s="448"/>
      <c r="D16" s="449"/>
      <c r="E16" s="405"/>
      <c r="G16" s="185"/>
    </row>
    <row r="17" s="186" customFormat="1" ht="16.5" customHeight="1" spans="1:8">
      <c r="A17" s="450" t="s">
        <v>289</v>
      </c>
      <c r="B17" s="451" t="s">
        <v>290</v>
      </c>
      <c r="C17" s="451" t="s">
        <v>291</v>
      </c>
      <c r="D17" s="452" t="s">
        <v>292</v>
      </c>
      <c r="F17" s="185"/>
    </row>
    <row r="18" s="186" customFormat="1" ht="16.5" spans="1:8">
      <c r="A18" s="238">
        <v>0.645833333333333</v>
      </c>
      <c r="B18" s="239">
        <v>0.659722222222222</v>
      </c>
      <c r="C18" s="457">
        <v>0.673611111111111</v>
      </c>
      <c r="D18" s="458">
        <v>0.684027777777778</v>
      </c>
      <c r="F18" s="185"/>
    </row>
    <row r="19" s="182" customFormat="1" ht="5.1" customHeight="1" spans="1:8">
      <c r="C19" s="212"/>
      <c r="D19" s="213"/>
      <c r="E19" s="212"/>
      <c r="F19" s="212"/>
      <c r="G19" s="213"/>
      <c r="H19" s="212"/>
    </row>
    <row r="20" s="184" customFormat="1" ht="54.75" customHeight="1" spans="1:8">
      <c r="A20" s="258"/>
      <c r="B20" s="259"/>
      <c r="C20" s="259"/>
      <c r="D20" s="259"/>
      <c r="E20" s="259"/>
    </row>
    <row r="21" s="186" customFormat="1" ht="21.75" customHeight="1" spans="1:8">
      <c r="A21" s="260"/>
      <c r="B21" s="260"/>
      <c r="C21" s="261"/>
      <c r="D21" s="262"/>
      <c r="E21" s="262"/>
      <c r="G21" s="263"/>
    </row>
    <row r="22" s="186" customFormat="1" ht="54" customHeight="1" spans="1:8">
      <c r="A22" s="264"/>
      <c r="B22" s="265"/>
      <c r="C22" s="266"/>
      <c r="D22" s="388"/>
      <c r="E22" s="268"/>
      <c r="G22" s="263"/>
    </row>
    <row r="23" s="186" customFormat="1" spans="1:8">
      <c r="A23" s="264"/>
      <c r="B23" s="265"/>
      <c r="C23" s="266"/>
      <c r="D23" s="459"/>
      <c r="E23" s="268"/>
      <c r="G23" s="263"/>
    </row>
    <row r="24" s="186" customFormat="1" spans="1:8">
      <c r="A24" s="264"/>
      <c r="B24" s="265"/>
      <c r="C24" s="266"/>
      <c r="D24" s="388"/>
      <c r="E24" s="268"/>
      <c r="G24" s="329"/>
    </row>
    <row r="25" s="186" customFormat="1" ht="30" customHeight="1" spans="1:8">
      <c r="A25" s="264"/>
      <c r="B25" s="265"/>
      <c r="C25" s="266"/>
      <c r="D25" s="388"/>
      <c r="E25" s="268"/>
      <c r="G25" s="329"/>
    </row>
    <row r="26" s="186" customFormat="1" ht="36.75" customHeight="1" spans="1:8">
      <c r="A26" s="264"/>
      <c r="B26" s="265"/>
      <c r="C26" s="266"/>
      <c r="D26" s="388"/>
      <c r="E26" s="268"/>
      <c r="G26" s="329"/>
    </row>
    <row r="27" s="186" customFormat="1" ht="36.75" customHeight="1" spans="1:8">
      <c r="A27" s="264"/>
      <c r="B27" s="265"/>
      <c r="C27" s="266"/>
      <c r="D27" s="459"/>
      <c r="E27" s="268"/>
      <c r="G27" s="329"/>
    </row>
    <row r="28" s="186" customFormat="1" ht="30" customHeight="1" spans="1:8">
      <c r="A28" s="264"/>
      <c r="B28" s="265"/>
      <c r="C28" s="266"/>
      <c r="D28" s="388"/>
      <c r="E28" s="268"/>
      <c r="G28" s="329"/>
    </row>
    <row r="29" s="186" customFormat="1" ht="7.5" customHeight="1" spans="1:8">
      <c r="A29" s="269"/>
      <c r="B29" s="270"/>
      <c r="C29" s="271"/>
      <c r="D29" s="272"/>
      <c r="E29" s="272"/>
    </row>
    <row r="30" s="186" customFormat="1" ht="24.95" customHeight="1" spans="1:8">
      <c r="A30" s="392"/>
      <c r="B30" s="392"/>
      <c r="C30" s="392"/>
      <c r="D30" s="392"/>
      <c r="E30" s="392"/>
      <c r="G30" s="185"/>
    </row>
    <row r="31" s="186" customFormat="1" ht="24.95" customHeight="1" spans="1:8">
      <c r="A31" s="460"/>
      <c r="B31" s="460"/>
      <c r="C31" s="460"/>
      <c r="D31" s="460"/>
      <c r="E31" s="460"/>
      <c r="G31" s="185"/>
    </row>
    <row r="32" s="186" customFormat="1" ht="20.1" customHeight="1" spans="1:8">
      <c r="A32" s="461"/>
      <c r="B32" s="461"/>
      <c r="C32" s="462"/>
      <c r="D32" s="463"/>
      <c r="E32" s="464"/>
      <c r="G32" s="185"/>
    </row>
    <row r="33" s="186" customFormat="1" ht="20.1" customHeight="1" spans="1:7">
      <c r="A33" s="461"/>
      <c r="B33" s="461"/>
      <c r="C33" s="462"/>
      <c r="D33" s="463"/>
      <c r="E33" s="464"/>
      <c r="G33" s="185"/>
    </row>
    <row r="34" s="186" customFormat="1" ht="17.25" spans="1:7">
      <c r="A34" s="461"/>
      <c r="B34" s="461"/>
      <c r="C34" s="462"/>
      <c r="D34" s="463"/>
      <c r="E34" s="464"/>
      <c r="G34" s="185"/>
    </row>
    <row r="35" s="186" customFormat="1" spans="1:7">
      <c r="D35" s="185"/>
      <c r="G35" s="185"/>
    </row>
  </sheetData>
  <mergeCells count="15">
    <mergeCell ref="A1:F1"/>
    <mergeCell ref="A3:F3"/>
    <mergeCell ref="A4:F4"/>
    <mergeCell ref="A9:D9"/>
    <mergeCell ref="A10:D10"/>
    <mergeCell ref="A15:D15"/>
    <mergeCell ref="A16:D16"/>
    <mergeCell ref="A20:E20"/>
    <mergeCell ref="A30:E30"/>
    <mergeCell ref="A31:B31"/>
    <mergeCell ref="A32:B32"/>
    <mergeCell ref="A33:B33"/>
    <mergeCell ref="A34:B34"/>
    <mergeCell ref="A22:A28"/>
    <mergeCell ref="E32:E34"/>
  </mergeCells>
  <pageMargins left="1.18110236220472" right="0.748031496062992" top="0.196850393700787" bottom="0.196850393700787" header="0.511811023622047" footer="0.511811023622047"/>
  <pageSetup paperSize="9" scale="63" orientation="portrait" horizontalDpi="300" verticalDpi="300"/>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4"/>
  <sheetViews>
    <sheetView topLeftCell="A15" workbookViewId="0">
      <selection activeCell="I35" sqref="A20:I35"/>
    </sheetView>
  </sheetViews>
  <sheetFormatPr defaultColWidth="9.14285714285714" defaultRowHeight="15.75" outlineLevelCol="7"/>
  <cols>
    <col min="1" max="3" width="30.7142857142857" style="186" customWidth="1"/>
    <col min="4" max="4" width="30.7142857142857" style="185" customWidth="1"/>
    <col min="5" max="5" width="30.7142857142857" style="186" customWidth="1"/>
    <col min="6" max="6" width="17.7142857142857" style="186" customWidth="1"/>
    <col min="7" max="7" width="15.7142857142857" style="185" customWidth="1"/>
    <col min="8" max="8" width="15.7142857142857" style="186" customWidth="1"/>
    <col min="9" max="16384" width="9.14285714285714" style="186"/>
  </cols>
  <sheetData>
    <row r="1" s="186" customFormat="1" ht="36.2" customHeight="1" spans="1:8">
      <c r="A1" s="409" t="s">
        <v>293</v>
      </c>
      <c r="B1" s="409"/>
      <c r="C1" s="409"/>
      <c r="D1" s="409"/>
      <c r="E1" s="409"/>
      <c r="G1" s="185"/>
    </row>
    <row r="2" s="186" customFormat="1" ht="92.25" customHeight="1" spans="1:8">
      <c r="A2" s="402" t="s">
        <v>294</v>
      </c>
      <c r="B2" s="403"/>
      <c r="C2" s="403"/>
      <c r="D2" s="403"/>
      <c r="E2" s="404"/>
      <c r="G2" s="185"/>
    </row>
    <row r="3" s="186" customFormat="1" ht="28.5" customHeight="1" spans="1:8">
      <c r="A3" s="410" t="s">
        <v>27</v>
      </c>
      <c r="B3" s="411"/>
      <c r="C3" s="411"/>
      <c r="D3" s="411"/>
      <c r="E3" s="412"/>
      <c r="G3" s="185"/>
    </row>
    <row r="4" s="186" customFormat="1" ht="35.25" customHeight="1" spans="1:8">
      <c r="A4" s="218" t="s">
        <v>218</v>
      </c>
      <c r="B4" s="218" t="s">
        <v>241</v>
      </c>
      <c r="C4" s="218" t="s">
        <v>295</v>
      </c>
      <c r="D4" s="218" t="s">
        <v>296</v>
      </c>
      <c r="E4" s="218" t="s">
        <v>297</v>
      </c>
      <c r="G4" s="185"/>
    </row>
    <row r="5" s="186" customFormat="1" spans="1:8">
      <c r="A5" s="288">
        <v>0.0138888888888889</v>
      </c>
      <c r="B5" s="413">
        <v>0.03125</v>
      </c>
      <c r="C5" s="413">
        <v>0.0451388888888889</v>
      </c>
      <c r="D5" s="413">
        <v>0.0555555555555556</v>
      </c>
      <c r="E5" s="414">
        <v>0.0694444444444444</v>
      </c>
      <c r="F5" s="186" t="s">
        <v>260</v>
      </c>
      <c r="G5" s="185"/>
    </row>
    <row r="6" s="186" customFormat="1" ht="16.5" spans="1:8">
      <c r="A6" s="238"/>
      <c r="B6" s="239"/>
      <c r="C6" s="239"/>
      <c r="D6" s="239"/>
      <c r="E6" s="240"/>
      <c r="G6" s="185"/>
    </row>
    <row r="7" s="186" customFormat="1" ht="5.1" customHeight="1" spans="1:8">
      <c r="A7" s="373"/>
      <c r="B7" s="373"/>
      <c r="C7" s="373"/>
      <c r="D7" s="373"/>
      <c r="E7" s="373"/>
      <c r="G7" s="185"/>
    </row>
    <row r="8" s="186" customFormat="1" ht="106.5" customHeight="1" spans="1:8">
      <c r="A8" s="222" t="s">
        <v>298</v>
      </c>
      <c r="B8" s="223"/>
      <c r="C8" s="223"/>
      <c r="D8" s="224"/>
      <c r="E8" s="200"/>
      <c r="G8" s="185"/>
    </row>
    <row r="9" s="186" customFormat="1" ht="18.75" customHeight="1" spans="1:8">
      <c r="A9" s="415" t="s">
        <v>27</v>
      </c>
      <c r="B9" s="416"/>
      <c r="C9" s="416"/>
      <c r="D9" s="417"/>
      <c r="E9" s="405"/>
      <c r="G9" s="185"/>
    </row>
    <row r="10" s="186" customFormat="1" ht="16.5" spans="1:8">
      <c r="A10" s="235" t="s">
        <v>299</v>
      </c>
      <c r="B10" s="236" t="s">
        <v>90</v>
      </c>
      <c r="C10" s="236" t="s">
        <v>300</v>
      </c>
      <c r="D10" s="237" t="s">
        <v>241</v>
      </c>
      <c r="G10" s="185"/>
    </row>
    <row r="11" s="186" customFormat="1" spans="1:8">
      <c r="A11" s="418">
        <v>0.184027777777778</v>
      </c>
      <c r="B11" s="413">
        <v>0.190972222222222</v>
      </c>
      <c r="C11" s="413">
        <v>0.211805555555556</v>
      </c>
      <c r="D11" s="414">
        <v>0.225694444444444</v>
      </c>
      <c r="E11" s="186" t="s">
        <v>259</v>
      </c>
      <c r="G11" s="185"/>
    </row>
    <row r="12" s="186" customFormat="1" spans="1:8">
      <c r="A12" s="419">
        <v>0.246527777777778</v>
      </c>
      <c r="B12" s="420"/>
      <c r="C12" s="420"/>
      <c r="D12" s="421"/>
      <c r="G12" s="185"/>
    </row>
    <row r="13" s="186" customFormat="1" ht="16.5" spans="1:8">
      <c r="A13" s="422">
        <v>0.583333333333333</v>
      </c>
      <c r="B13" s="423">
        <v>0.590277777777778</v>
      </c>
      <c r="C13" s="423">
        <v>0.611111111111111</v>
      </c>
      <c r="D13" s="424">
        <v>0.625</v>
      </c>
      <c r="E13" s="186" t="s">
        <v>260</v>
      </c>
      <c r="G13" s="185"/>
    </row>
    <row r="14" s="182" customFormat="1" ht="4.5" customHeight="1" spans="1:8">
      <c r="C14" s="212"/>
      <c r="D14" s="213"/>
      <c r="E14" s="212"/>
      <c r="F14" s="212"/>
      <c r="G14" s="213"/>
      <c r="H14" s="212"/>
    </row>
    <row r="15" s="186" customFormat="1" ht="81" customHeight="1" spans="1:8">
      <c r="A15" s="402" t="s">
        <v>301</v>
      </c>
      <c r="B15" s="403"/>
      <c r="C15" s="403"/>
      <c r="D15" s="404"/>
      <c r="E15" s="425"/>
      <c r="G15" s="185"/>
    </row>
    <row r="16" s="186" customFormat="1" ht="28.5" customHeight="1" spans="1:8">
      <c r="A16" s="361" t="s">
        <v>27</v>
      </c>
      <c r="B16" s="362"/>
      <c r="C16" s="362"/>
      <c r="D16" s="363"/>
      <c r="E16" s="405"/>
      <c r="G16" s="185"/>
    </row>
    <row r="17" s="186" customFormat="1" ht="35.25" customHeight="1" spans="1:8">
      <c r="A17" s="218" t="s">
        <v>241</v>
      </c>
      <c r="B17" s="218" t="s">
        <v>299</v>
      </c>
      <c r="C17" s="218" t="s">
        <v>302</v>
      </c>
      <c r="D17" s="218" t="s">
        <v>303</v>
      </c>
      <c r="F17" s="185"/>
    </row>
    <row r="18" s="186" customFormat="1" ht="16.5" spans="1:8">
      <c r="A18" s="203">
        <v>0.645833333333333</v>
      </c>
      <c r="B18" s="203">
        <v>0.659722222222222</v>
      </c>
      <c r="C18" s="426">
        <v>0.677083333333333</v>
      </c>
      <c r="D18" s="426">
        <v>0.690972222222222</v>
      </c>
      <c r="E18" s="186" t="s">
        <v>259</v>
      </c>
      <c r="F18" s="185"/>
    </row>
    <row r="19" s="182" customFormat="1" ht="4.5" customHeight="1" spans="1:8">
      <c r="C19" s="212"/>
      <c r="D19" s="213"/>
      <c r="E19" s="212"/>
      <c r="F19" s="212"/>
      <c r="G19" s="213"/>
      <c r="H19" s="212"/>
    </row>
    <row r="20" s="184" customFormat="1" ht="24.95" customHeight="1" spans="1:8">
      <c r="A20" s="258"/>
      <c r="B20" s="259"/>
      <c r="C20" s="259"/>
      <c r="D20" s="259"/>
      <c r="E20" s="259"/>
    </row>
    <row r="21" s="186" customFormat="1" spans="1:8">
      <c r="A21" s="260"/>
      <c r="B21" s="260"/>
      <c r="C21" s="261"/>
      <c r="D21" s="262"/>
      <c r="E21" s="262"/>
      <c r="G21" s="263"/>
    </row>
    <row r="22" s="186" customFormat="1" ht="42" customHeight="1" spans="1:8">
      <c r="A22" s="264"/>
      <c r="B22" s="265"/>
      <c r="C22" s="427"/>
      <c r="D22" s="303"/>
      <c r="E22" s="268"/>
      <c r="F22" s="186"/>
      <c r="G22" s="263"/>
    </row>
    <row r="23" s="186" customFormat="1" spans="1:8">
      <c r="A23" s="264"/>
      <c r="B23" s="265"/>
      <c r="C23" s="427"/>
      <c r="D23" s="303"/>
      <c r="E23" s="268"/>
      <c r="F23" s="186"/>
      <c r="G23" s="263"/>
    </row>
    <row r="24" s="186" customFormat="1" ht="30" customHeight="1" spans="1:8">
      <c r="A24" s="264"/>
      <c r="B24" s="265"/>
      <c r="C24" s="427"/>
      <c r="D24" s="303"/>
      <c r="E24" s="268"/>
      <c r="F24" s="186"/>
      <c r="G24" s="329"/>
    </row>
    <row r="25" s="186" customFormat="1" ht="42.75" customHeight="1" spans="1:8">
      <c r="A25" s="264"/>
      <c r="B25" s="265"/>
      <c r="C25" s="427"/>
      <c r="D25" s="303"/>
      <c r="E25" s="268"/>
      <c r="G25" s="263"/>
    </row>
    <row r="26" s="186" customFormat="1" ht="30" customHeight="1" spans="1:8">
      <c r="A26" s="264"/>
      <c r="B26" s="406"/>
      <c r="C26" s="427"/>
      <c r="D26" s="303"/>
      <c r="E26" s="268"/>
      <c r="F26" s="186"/>
      <c r="G26" s="329"/>
    </row>
    <row r="27" s="186" customFormat="1" ht="30" customHeight="1" spans="1:8">
      <c r="A27" s="264"/>
      <c r="B27" s="265"/>
      <c r="C27" s="427"/>
      <c r="D27" s="303"/>
      <c r="E27" s="268"/>
      <c r="F27" s="186"/>
      <c r="G27" s="263"/>
    </row>
    <row r="28" s="186" customFormat="1" ht="7.5" customHeight="1" spans="1:8">
      <c r="A28" s="269"/>
      <c r="B28" s="270"/>
      <c r="C28" s="271"/>
      <c r="D28" s="272"/>
      <c r="E28" s="272"/>
    </row>
    <row r="29" s="186" customFormat="1" ht="24.95" customHeight="1" spans="1:8">
      <c r="A29" s="428"/>
      <c r="B29" s="428"/>
      <c r="C29" s="428"/>
      <c r="D29" s="428"/>
      <c r="E29" s="428"/>
      <c r="G29" s="185"/>
    </row>
    <row r="30" s="186" customFormat="1" ht="24.95" customHeight="1" spans="1:8">
      <c r="A30" s="429"/>
      <c r="B30" s="429"/>
      <c r="C30" s="429"/>
      <c r="D30" s="429"/>
      <c r="E30" s="429"/>
      <c r="G30" s="185"/>
    </row>
    <row r="31" s="186" customFormat="1" ht="20.1" customHeight="1" spans="1:8">
      <c r="A31" s="394"/>
      <c r="B31" s="394"/>
      <c r="C31" s="395"/>
      <c r="D31" s="430"/>
      <c r="E31" s="431"/>
      <c r="G31" s="185"/>
    </row>
    <row r="32" s="186" customFormat="1" ht="20.1" customHeight="1" spans="1:8">
      <c r="A32" s="394"/>
      <c r="B32" s="394"/>
      <c r="C32" s="395"/>
      <c r="D32" s="430"/>
      <c r="E32" s="431"/>
      <c r="G32" s="185"/>
    </row>
    <row r="33" s="186" customFormat="1" ht="17.25" spans="1:7">
      <c r="A33" s="432"/>
      <c r="B33" s="433"/>
      <c r="C33" s="395"/>
      <c r="D33" s="430"/>
      <c r="E33" s="431"/>
      <c r="G33" s="185"/>
    </row>
    <row r="34" s="186" customFormat="1" spans="1:7">
      <c r="D34" s="427"/>
      <c r="G34" s="185"/>
    </row>
  </sheetData>
  <mergeCells count="16">
    <mergeCell ref="A1:E1"/>
    <mergeCell ref="A2:E2"/>
    <mergeCell ref="A3:E3"/>
    <mergeCell ref="A7:E7"/>
    <mergeCell ref="A8:D8"/>
    <mergeCell ref="A9:D9"/>
    <mergeCell ref="A15:D15"/>
    <mergeCell ref="A16:D16"/>
    <mergeCell ref="A20:E20"/>
    <mergeCell ref="A29:E29"/>
    <mergeCell ref="A30:B30"/>
    <mergeCell ref="A31:B31"/>
    <mergeCell ref="A32:B32"/>
    <mergeCell ref="A33:B33"/>
    <mergeCell ref="A22:A27"/>
    <mergeCell ref="E31:E33"/>
  </mergeCells>
  <pageMargins left="1.18110236220472" right="0.748031496062992" top="0.196850393700787" bottom="0.196850393700787" header="0.511811023622047" footer="0.511811023622047"/>
  <pageSetup paperSize="9" scale="59" orientation="portrait" horizontalDpi="300" verticalDpi="300"/>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7"/>
  <sheetViews>
    <sheetView workbookViewId="0">
      <selection activeCell="F17" sqref="A7:F17"/>
    </sheetView>
  </sheetViews>
  <sheetFormatPr defaultColWidth="9.14285714285714" defaultRowHeight="15.75" outlineLevelCol="7"/>
  <cols>
    <col min="1" max="3" width="30.7142857142857" style="186" customWidth="1"/>
    <col min="4" max="4" width="30.7142857142857" style="185" customWidth="1"/>
    <col min="5" max="5" width="30.7142857142857" style="186" customWidth="1"/>
    <col min="6" max="6" width="17.7142857142857" style="186" customWidth="1"/>
    <col min="7" max="7" width="15.7142857142857" style="185" customWidth="1"/>
    <col min="8" max="8" width="15.7142857142857" style="186" customWidth="1"/>
    <col min="9" max="16384" width="9.14285714285714" style="186"/>
  </cols>
  <sheetData>
    <row r="1" s="182" customFormat="1" ht="29.25" customHeight="1" spans="1:8">
      <c r="A1" s="188" t="s">
        <v>304</v>
      </c>
      <c r="B1" s="189"/>
      <c r="C1" s="189"/>
      <c r="D1" s="190"/>
      <c r="E1" s="400"/>
      <c r="F1" s="401"/>
      <c r="G1" s="213"/>
      <c r="H1" s="212"/>
    </row>
    <row r="2" s="182" customFormat="1" ht="75.75" customHeight="1" spans="1:8">
      <c r="A2" s="402" t="s">
        <v>305</v>
      </c>
      <c r="B2" s="403"/>
      <c r="C2" s="403"/>
      <c r="D2" s="404"/>
      <c r="E2" s="200"/>
      <c r="F2" s="200"/>
      <c r="G2" s="213"/>
      <c r="H2" s="212"/>
    </row>
    <row r="3" s="182" customFormat="1" ht="20.1" customHeight="1" spans="1:8">
      <c r="A3" s="361" t="s">
        <v>27</v>
      </c>
      <c r="B3" s="362"/>
      <c r="C3" s="362"/>
      <c r="D3" s="363"/>
      <c r="E3" s="405"/>
      <c r="F3" s="405"/>
      <c r="G3" s="213"/>
      <c r="H3" s="212"/>
    </row>
    <row r="4" s="182" customFormat="1" ht="20.1" customHeight="1" spans="1:8">
      <c r="A4" s="208" t="s">
        <v>241</v>
      </c>
      <c r="B4" s="208" t="s">
        <v>299</v>
      </c>
      <c r="C4" s="208" t="s">
        <v>306</v>
      </c>
      <c r="D4" s="201" t="s">
        <v>299</v>
      </c>
      <c r="F4" s="200"/>
      <c r="G4" s="213"/>
      <c r="H4" s="212"/>
    </row>
    <row r="5" s="182" customFormat="1" ht="20.1" customHeight="1" spans="1:8">
      <c r="A5" s="230">
        <v>0.645833333333333</v>
      </c>
      <c r="B5" s="210">
        <v>0.649305555555556</v>
      </c>
      <c r="C5" s="210">
        <v>0.666666666666667</v>
      </c>
      <c r="D5" s="214">
        <v>0.680555555555555</v>
      </c>
      <c r="E5" s="182" t="s">
        <v>259</v>
      </c>
      <c r="F5" s="234"/>
      <c r="G5" s="213"/>
      <c r="H5" s="212"/>
    </row>
    <row r="6" s="182" customFormat="1" ht="4.5" customHeight="1" spans="1:8">
      <c r="C6" s="212"/>
      <c r="D6" s="213"/>
      <c r="E6" s="212"/>
      <c r="F6" s="212"/>
      <c r="G6" s="213"/>
      <c r="H6" s="212"/>
    </row>
    <row r="7" s="184" customFormat="1" ht="24.95" customHeight="1" spans="1:8">
      <c r="A7" s="258"/>
      <c r="B7" s="259"/>
      <c r="C7" s="259"/>
      <c r="D7" s="259"/>
      <c r="E7" s="259"/>
    </row>
    <row r="8" s="186" customFormat="1" spans="1:8">
      <c r="A8" s="260"/>
      <c r="B8" s="260"/>
      <c r="C8" s="261"/>
      <c r="D8" s="262"/>
      <c r="E8" s="262"/>
      <c r="G8" s="263"/>
    </row>
    <row r="9" s="186" customFormat="1" ht="57.75" customHeight="1" spans="1:8">
      <c r="A9" s="328"/>
      <c r="B9" s="406"/>
      <c r="C9" s="266"/>
      <c r="D9" s="267"/>
      <c r="E9" s="268"/>
      <c r="G9" s="329"/>
    </row>
    <row r="10" s="186" customFormat="1" ht="7.5" customHeight="1" spans="1:8">
      <c r="A10" s="269"/>
      <c r="B10" s="270"/>
      <c r="C10" s="271"/>
      <c r="D10" s="272"/>
      <c r="E10" s="272"/>
    </row>
    <row r="11" s="186" customFormat="1" ht="24.95" customHeight="1" spans="1:8">
      <c r="A11" s="273"/>
      <c r="B11" s="274"/>
      <c r="C11" s="274"/>
      <c r="D11" s="274"/>
      <c r="E11" s="407"/>
      <c r="G11" s="185"/>
    </row>
    <row r="12" s="186" customFormat="1" ht="24.95" customHeight="1" spans="1:8">
      <c r="A12" s="277"/>
      <c r="B12" s="277"/>
      <c r="C12" s="277"/>
      <c r="D12" s="277"/>
      <c r="E12" s="277"/>
      <c r="G12" s="185"/>
    </row>
    <row r="13" s="186" customFormat="1" ht="20.1" customHeight="1" spans="1:8">
      <c r="A13" s="280"/>
      <c r="B13" s="280"/>
      <c r="C13" s="281"/>
      <c r="D13" s="282"/>
      <c r="E13" s="408"/>
      <c r="G13" s="185"/>
    </row>
    <row r="14" s="186" customFormat="1" spans="1:8">
      <c r="D14" s="266"/>
      <c r="G14" s="185"/>
    </row>
    <row r="15" s="186" customFormat="1" spans="1:8">
      <c r="D15" s="185"/>
      <c r="G15" s="185"/>
    </row>
    <row r="16" s="185" customFormat="1" spans="1:8">
      <c r="A16" s="186"/>
      <c r="B16" s="186"/>
      <c r="C16" s="285"/>
      <c r="E16" s="186"/>
      <c r="F16" s="186"/>
      <c r="H16" s="186"/>
    </row>
    <row r="17" s="185" customFormat="1" spans="1:8">
      <c r="A17" s="186"/>
      <c r="B17" s="186"/>
      <c r="C17" s="186"/>
      <c r="E17" s="186"/>
      <c r="F17" s="186"/>
      <c r="H17" s="186"/>
    </row>
  </sheetData>
  <mergeCells count="7">
    <mergeCell ref="A1:D1"/>
    <mergeCell ref="A2:D2"/>
    <mergeCell ref="A3:D3"/>
    <mergeCell ref="A7:E7"/>
    <mergeCell ref="A11:E11"/>
    <mergeCell ref="A12:B12"/>
    <mergeCell ref="A13:B13"/>
  </mergeCells>
  <pageMargins left="1.18110236220472" right="0.748031496062992" top="0.196850393700787" bottom="0.196850393700787" header="0.511811023622047" footer="0.511811023622047"/>
  <pageSetup paperSize="9" scale="59" orientation="portrait" horizontalDpi="300" verticalDpi="300"/>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57"/>
  <sheetViews>
    <sheetView topLeftCell="A29" workbookViewId="0">
      <selection activeCell="I44" sqref="I44"/>
    </sheetView>
  </sheetViews>
  <sheetFormatPr defaultColWidth="9.14285714285714" defaultRowHeight="15.75" outlineLevelCol="7"/>
  <cols>
    <col min="1" max="3" width="35.7142857142857" style="186" customWidth="1"/>
    <col min="4" max="4" width="35.7142857142857" style="185" customWidth="1"/>
    <col min="5" max="5" width="35.7142857142857" style="186" customWidth="1"/>
    <col min="6" max="6" width="17.7142857142857" style="186" customWidth="1"/>
    <col min="7" max="7" width="15.7142857142857" style="185" customWidth="1"/>
    <col min="8" max="8" width="15.7142857142857" style="186" customWidth="1"/>
    <col min="9" max="16384" width="9.14285714285714" style="186"/>
  </cols>
  <sheetData>
    <row r="1" s="186" customFormat="1" ht="29.85" customHeight="1" spans="1:8">
      <c r="A1" s="354" t="s">
        <v>307</v>
      </c>
      <c r="B1" s="355"/>
      <c r="C1" s="355"/>
      <c r="D1" s="356"/>
      <c r="G1" s="185"/>
    </row>
    <row r="2" s="182" customFormat="1" ht="5.1" customHeight="1" spans="1:8">
      <c r="A2" s="191"/>
      <c r="B2" s="191"/>
      <c r="C2" s="191"/>
      <c r="D2" s="191"/>
      <c r="E2" s="186"/>
      <c r="F2" s="186"/>
      <c r="G2" s="185"/>
      <c r="H2" s="186"/>
    </row>
    <row r="3" s="182" customFormat="1" ht="41.25" customHeight="1" spans="1:8">
      <c r="A3" s="204" t="s">
        <v>308</v>
      </c>
      <c r="B3" s="205"/>
      <c r="C3" s="205"/>
      <c r="D3" s="206"/>
      <c r="E3" s="186"/>
      <c r="F3" s="186"/>
      <c r="G3" s="185"/>
      <c r="H3" s="186"/>
    </row>
    <row r="4" s="182" customFormat="1" ht="21" spans="1:8">
      <c r="A4" s="192" t="s">
        <v>27</v>
      </c>
      <c r="B4" s="193"/>
      <c r="C4" s="193"/>
      <c r="D4" s="194"/>
      <c r="E4" s="186"/>
      <c r="F4" s="186"/>
      <c r="G4" s="185"/>
      <c r="H4" s="186"/>
    </row>
    <row r="5" s="182" customFormat="1" ht="31.7" customHeight="1" spans="1:8">
      <c r="A5" s="201" t="s">
        <v>303</v>
      </c>
      <c r="B5" s="201" t="s">
        <v>241</v>
      </c>
      <c r="C5" s="201" t="s">
        <v>299</v>
      </c>
      <c r="D5" s="201" t="s">
        <v>309</v>
      </c>
      <c r="E5" s="186"/>
      <c r="F5" s="186"/>
      <c r="G5" s="185"/>
      <c r="H5" s="186"/>
    </row>
    <row r="6" s="182" customFormat="1" ht="18.75" spans="1:8">
      <c r="A6" s="238">
        <v>0.0138888888888889</v>
      </c>
      <c r="B6" s="357">
        <v>0.03125</v>
      </c>
      <c r="C6" s="239">
        <v>0.0520833333333333</v>
      </c>
      <c r="D6" s="358">
        <v>0.0659722222222222</v>
      </c>
      <c r="E6" s="359" t="s">
        <v>260</v>
      </c>
      <c r="F6" s="186"/>
      <c r="G6" s="185"/>
      <c r="H6" s="186"/>
    </row>
    <row r="7" s="182" customFormat="1" ht="5.1" customHeight="1" spans="1:8">
      <c r="A7" s="191"/>
      <c r="B7" s="191"/>
      <c r="C7" s="191"/>
      <c r="D7" s="191"/>
      <c r="E7" s="186"/>
      <c r="F7" s="186"/>
      <c r="G7" s="185"/>
      <c r="H7" s="186"/>
    </row>
    <row r="8" s="182" customFormat="1" ht="47.1" customHeight="1" spans="1:8">
      <c r="A8" s="204" t="s">
        <v>310</v>
      </c>
      <c r="B8" s="205"/>
      <c r="C8" s="205"/>
      <c r="D8" s="205"/>
      <c r="E8" s="206"/>
      <c r="F8" s="360"/>
      <c r="G8" s="213"/>
      <c r="H8" s="212"/>
    </row>
    <row r="9" s="182" customFormat="1" ht="15" customHeight="1" spans="1:8">
      <c r="A9" s="361" t="s">
        <v>27</v>
      </c>
      <c r="B9" s="362"/>
      <c r="C9" s="362"/>
      <c r="D9" s="362"/>
      <c r="E9" s="363"/>
      <c r="F9" s="360"/>
      <c r="G9" s="213"/>
      <c r="H9" s="212"/>
    </row>
    <row r="10" s="182" customFormat="1" ht="15" customHeight="1" spans="1:8">
      <c r="A10" s="364" t="s">
        <v>253</v>
      </c>
      <c r="B10" s="365" t="s">
        <v>311</v>
      </c>
      <c r="C10" s="365" t="s">
        <v>312</v>
      </c>
      <c r="D10" s="365" t="s">
        <v>241</v>
      </c>
      <c r="E10" s="201" t="s">
        <v>262</v>
      </c>
      <c r="F10" s="360"/>
      <c r="G10" s="213"/>
      <c r="H10" s="212"/>
    </row>
    <row r="11" s="182" customFormat="1" ht="15" customHeight="1" spans="1:8">
      <c r="A11" s="219">
        <v>0.1875</v>
      </c>
      <c r="B11" s="220">
        <v>0.199305555555556</v>
      </c>
      <c r="C11" s="220">
        <v>0.208333333333333</v>
      </c>
      <c r="D11" s="366">
        <v>0.225694444444444</v>
      </c>
      <c r="E11" s="366">
        <v>0.246527777777778</v>
      </c>
      <c r="F11" s="360" t="s">
        <v>259</v>
      </c>
      <c r="G11" s="213"/>
      <c r="H11" s="212"/>
    </row>
    <row r="12" s="182" customFormat="1" ht="5.1" customHeight="1" spans="1:8">
      <c r="A12" s="191"/>
      <c r="B12" s="191"/>
      <c r="C12" s="191"/>
      <c r="D12" s="191"/>
      <c r="E12" s="186"/>
      <c r="F12" s="186"/>
      <c r="G12" s="185"/>
      <c r="H12" s="186"/>
    </row>
    <row r="13" s="186" customFormat="1" ht="41.25" customHeight="1" spans="1:8">
      <c r="A13" s="204" t="s">
        <v>313</v>
      </c>
      <c r="B13" s="205"/>
      <c r="C13" s="205"/>
      <c r="D13" s="206"/>
      <c r="G13" s="185"/>
    </row>
    <row r="14" s="186" customFormat="1" ht="21" spans="1:8">
      <c r="A14" s="192" t="s">
        <v>27</v>
      </c>
      <c r="B14" s="193"/>
      <c r="C14" s="193"/>
      <c r="D14" s="194"/>
      <c r="G14" s="185"/>
    </row>
    <row r="15" s="186" customFormat="1" ht="31.7" customHeight="1" spans="1:8">
      <c r="A15" s="208" t="s">
        <v>275</v>
      </c>
      <c r="B15" s="209"/>
      <c r="C15" s="208" t="s">
        <v>241</v>
      </c>
      <c r="D15" s="209"/>
      <c r="G15" s="185"/>
    </row>
    <row r="16" s="186" customFormat="1" spans="1:8">
      <c r="A16" s="367">
        <v>0.298611111111111</v>
      </c>
      <c r="B16" s="368"/>
      <c r="C16" s="369">
        <v>0.3125</v>
      </c>
      <c r="D16" s="370"/>
      <c r="E16" s="359" t="s">
        <v>314</v>
      </c>
      <c r="G16" s="185"/>
    </row>
    <row r="17" s="186" customFormat="1" ht="16.5" spans="1:8">
      <c r="A17" s="238">
        <v>0.548611111111111</v>
      </c>
      <c r="B17" s="239"/>
      <c r="C17" s="371">
        <v>0.5625</v>
      </c>
      <c r="D17" s="372"/>
      <c r="E17" s="359" t="s">
        <v>315</v>
      </c>
      <c r="G17" s="185"/>
    </row>
    <row r="18" s="186" customFormat="1" ht="5.1" customHeight="1" spans="1:8">
      <c r="A18" s="373"/>
      <c r="B18" s="373"/>
      <c r="C18" s="373"/>
      <c r="D18" s="373"/>
      <c r="G18" s="185"/>
    </row>
    <row r="19" s="186" customFormat="1" ht="70" customHeight="1" spans="1:8">
      <c r="A19" s="204" t="s">
        <v>316</v>
      </c>
      <c r="B19" s="205"/>
      <c r="C19" s="205"/>
      <c r="D19" s="206"/>
      <c r="G19" s="185"/>
    </row>
    <row r="20" s="186" customFormat="1" ht="33.75" customHeight="1" spans="1:8">
      <c r="A20" s="201" t="s">
        <v>28</v>
      </c>
      <c r="B20" s="201" t="s">
        <v>181</v>
      </c>
      <c r="C20" s="201" t="s">
        <v>317</v>
      </c>
      <c r="D20" s="201" t="s">
        <v>241</v>
      </c>
      <c r="G20" s="185"/>
    </row>
    <row r="21" s="186" customFormat="1" ht="20.25" customHeight="1" spans="1:8">
      <c r="A21" s="288">
        <v>0.201388888888889</v>
      </c>
      <c r="B21" s="289">
        <v>0.208333333333333</v>
      </c>
      <c r="C21" s="289">
        <v>0.215277777777778</v>
      </c>
      <c r="D21" s="374">
        <v>0.229166666666667</v>
      </c>
      <c r="E21" s="359" t="s">
        <v>259</v>
      </c>
      <c r="G21" s="185"/>
    </row>
    <row r="22" s="186" customFormat="1" ht="20.25" customHeight="1" spans="1:8">
      <c r="A22" s="375">
        <v>0.274305555555556</v>
      </c>
      <c r="B22" s="376">
        <v>0.28125</v>
      </c>
      <c r="C22" s="376">
        <v>0.291666666666667</v>
      </c>
      <c r="D22" s="377">
        <v>0.305555555555556</v>
      </c>
      <c r="E22" s="359" t="s">
        <v>314</v>
      </c>
      <c r="G22" s="185"/>
    </row>
    <row r="23" s="186" customFormat="1" ht="5.1" customHeight="1" spans="1:8">
      <c r="A23" s="373"/>
      <c r="B23" s="373"/>
      <c r="C23" s="373"/>
      <c r="D23" s="373"/>
      <c r="G23" s="185"/>
    </row>
    <row r="24" s="186" customFormat="1" ht="58.5" customHeight="1" spans="1:8">
      <c r="A24" s="204" t="s">
        <v>318</v>
      </c>
      <c r="B24" s="205"/>
      <c r="C24" s="205"/>
      <c r="D24" s="206"/>
      <c r="G24" s="185"/>
    </row>
    <row r="25" s="186" customFormat="1" ht="33.75" customHeight="1" spans="1:8">
      <c r="A25" s="201" t="s">
        <v>299</v>
      </c>
      <c r="B25" s="201" t="s">
        <v>28</v>
      </c>
      <c r="C25" s="201" t="s">
        <v>275</v>
      </c>
      <c r="D25" s="201" t="s">
        <v>241</v>
      </c>
      <c r="G25" s="185"/>
    </row>
    <row r="26" s="186" customFormat="1" ht="16.5" spans="1:8">
      <c r="A26" s="375">
        <v>0.583333333333333</v>
      </c>
      <c r="B26" s="378">
        <v>0.597222222222222</v>
      </c>
      <c r="C26" s="376">
        <v>0.611111111111111</v>
      </c>
      <c r="D26" s="379">
        <v>0.635416666666667</v>
      </c>
      <c r="E26" s="359" t="s">
        <v>260</v>
      </c>
      <c r="G26" s="185"/>
    </row>
    <row r="27" s="186" customFormat="1" ht="5.1" customHeight="1" spans="1:8">
      <c r="A27" s="373"/>
      <c r="B27" s="373"/>
      <c r="C27" s="373"/>
      <c r="D27" s="373"/>
      <c r="G27" s="185"/>
    </row>
    <row r="28" s="182" customFormat="1" ht="36" customHeight="1" spans="1:8">
      <c r="A28" s="204" t="s">
        <v>319</v>
      </c>
      <c r="B28" s="205"/>
      <c r="C28" s="205"/>
      <c r="D28" s="205"/>
      <c r="E28" s="206"/>
      <c r="F28" s="360"/>
      <c r="G28" s="213"/>
      <c r="H28" s="212"/>
    </row>
    <row r="29" s="182" customFormat="1" ht="15" customHeight="1" spans="1:8">
      <c r="A29" s="361" t="s">
        <v>27</v>
      </c>
      <c r="B29" s="362"/>
      <c r="C29" s="362"/>
      <c r="D29" s="362"/>
      <c r="E29" s="380"/>
      <c r="F29" s="360"/>
      <c r="G29" s="213"/>
      <c r="H29" s="212"/>
    </row>
    <row r="30" s="182" customFormat="1" ht="15" customHeight="1" spans="1:8">
      <c r="A30" s="381" t="s">
        <v>262</v>
      </c>
      <c r="B30" s="382" t="s">
        <v>241</v>
      </c>
      <c r="C30" s="382" t="s">
        <v>253</v>
      </c>
      <c r="D30" s="382" t="s">
        <v>257</v>
      </c>
      <c r="E30" s="201" t="s">
        <v>262</v>
      </c>
      <c r="F30" s="360"/>
      <c r="G30" s="213"/>
      <c r="H30" s="212"/>
    </row>
    <row r="31" s="182" customFormat="1" ht="15" customHeight="1" spans="1:8">
      <c r="A31" s="219">
        <v>0.631944444444444</v>
      </c>
      <c r="B31" s="383">
        <v>0.645833333333333</v>
      </c>
      <c r="C31" s="220">
        <v>0.663194444444444</v>
      </c>
      <c r="D31" s="366">
        <v>0.677083333333333</v>
      </c>
      <c r="E31" s="366">
        <v>0.6875</v>
      </c>
      <c r="F31" s="360" t="s">
        <v>259</v>
      </c>
      <c r="G31" s="213"/>
      <c r="H31" s="212"/>
    </row>
    <row r="32" s="186" customFormat="1" ht="5.1" customHeight="1" spans="1:8">
      <c r="A32" s="373"/>
      <c r="B32" s="373"/>
      <c r="C32" s="373"/>
      <c r="D32" s="373"/>
      <c r="G32" s="185"/>
    </row>
    <row r="33" s="186" customFormat="1" ht="26" customHeight="1" spans="1:8">
      <c r="A33" s="204" t="s">
        <v>320</v>
      </c>
      <c r="B33" s="205"/>
      <c r="C33" s="205"/>
      <c r="D33" s="206"/>
      <c r="G33" s="185"/>
    </row>
    <row r="34" s="186" customFormat="1" ht="33.75" customHeight="1" spans="1:8">
      <c r="A34" s="208" t="s">
        <v>241</v>
      </c>
      <c r="B34" s="209"/>
      <c r="C34" s="256" t="s">
        <v>275</v>
      </c>
      <c r="D34" s="257"/>
      <c r="G34" s="185"/>
    </row>
    <row r="35" s="186" customFormat="1" ht="16.5" spans="1:8">
      <c r="A35" s="238">
        <v>0.732638888888889</v>
      </c>
      <c r="B35" s="239"/>
      <c r="C35" s="384">
        <v>0.746527777777778</v>
      </c>
      <c r="D35" s="385"/>
      <c r="E35" s="359" t="s">
        <v>314</v>
      </c>
      <c r="G35" s="185"/>
    </row>
    <row r="36" s="182" customFormat="1" ht="4.5" customHeight="1" spans="1:8">
      <c r="C36" s="212"/>
      <c r="D36" s="213"/>
      <c r="E36" s="212"/>
      <c r="F36" s="212"/>
      <c r="G36" s="213"/>
      <c r="H36" s="212"/>
    </row>
    <row r="37" s="184" customFormat="1" ht="24.95" customHeight="1" spans="1:8">
      <c r="A37" s="258"/>
      <c r="B37" s="259"/>
      <c r="C37" s="259"/>
      <c r="D37" s="259"/>
      <c r="E37" s="259"/>
    </row>
    <row r="38" s="186" customFormat="1" spans="1:8">
      <c r="A38" s="260"/>
      <c r="B38" s="260"/>
      <c r="C38" s="261"/>
      <c r="D38" s="262"/>
      <c r="E38" s="262"/>
      <c r="G38" s="263"/>
    </row>
    <row r="39" s="186" customFormat="1" ht="44.25" customHeight="1" spans="1:8">
      <c r="A39" s="264"/>
      <c r="B39" s="386"/>
      <c r="C39" s="387"/>
      <c r="D39" s="267"/>
      <c r="E39" s="268"/>
      <c r="G39" s="263"/>
    </row>
    <row r="40" s="186" customFormat="1" ht="44.25" customHeight="1" spans="1:8">
      <c r="A40" s="264"/>
      <c r="B40" s="265"/>
      <c r="C40" s="387"/>
      <c r="D40" s="267"/>
      <c r="E40" s="268"/>
      <c r="G40" s="263"/>
    </row>
    <row r="41" s="186" customFormat="1" ht="44.25" customHeight="1" spans="1:8">
      <c r="A41" s="264"/>
      <c r="B41" s="265"/>
      <c r="C41" s="387"/>
      <c r="D41" s="388"/>
      <c r="E41" s="268"/>
      <c r="G41" s="263"/>
    </row>
    <row r="42" s="186" customFormat="1" ht="44.25" customHeight="1" spans="1:8">
      <c r="A42" s="264"/>
      <c r="B42" s="265"/>
      <c r="C42" s="266"/>
      <c r="D42" s="267"/>
      <c r="E42" s="389"/>
      <c r="G42" s="263"/>
    </row>
    <row r="43" s="186" customFormat="1" ht="44.25" customHeight="1" spans="1:8">
      <c r="A43" s="264"/>
      <c r="B43" s="265"/>
      <c r="C43" s="266"/>
      <c r="D43" s="267"/>
      <c r="E43" s="389"/>
      <c r="G43" s="263"/>
    </row>
    <row r="44" s="186" customFormat="1" ht="44.25" customHeight="1" spans="1:8">
      <c r="A44" s="264"/>
      <c r="B44" s="265"/>
      <c r="C44" s="266"/>
      <c r="D44" s="267"/>
      <c r="E44" s="389"/>
      <c r="G44" s="263"/>
    </row>
    <row r="45" s="186" customFormat="1" ht="44.25" customHeight="1" spans="1:8">
      <c r="A45" s="264"/>
      <c r="B45" s="265"/>
      <c r="C45" s="266"/>
      <c r="D45" s="388"/>
      <c r="E45" s="268"/>
      <c r="G45" s="263"/>
    </row>
    <row r="46" s="186" customFormat="1" ht="44.25" customHeight="1" spans="1:8">
      <c r="A46" s="264"/>
      <c r="B46" s="265"/>
      <c r="C46" s="266"/>
      <c r="D46" s="388"/>
      <c r="E46" s="389"/>
      <c r="G46" s="263"/>
    </row>
    <row r="47" s="186" customFormat="1" ht="44.25" customHeight="1" spans="1:8">
      <c r="A47" s="264"/>
      <c r="B47" s="265"/>
      <c r="C47" s="266"/>
      <c r="D47" s="388"/>
      <c r="E47" s="268"/>
      <c r="G47" s="263"/>
    </row>
    <row r="48" s="186" customFormat="1" ht="44.25" customHeight="1" spans="1:8">
      <c r="A48" s="264"/>
      <c r="B48" s="265"/>
      <c r="C48" s="266"/>
      <c r="D48" s="388"/>
      <c r="E48" s="268"/>
      <c r="G48" s="263"/>
    </row>
    <row r="49" s="186" customFormat="1" ht="44.25" customHeight="1" spans="1:7">
      <c r="A49" s="264"/>
      <c r="B49" s="265"/>
      <c r="C49" s="266"/>
      <c r="D49" s="388"/>
      <c r="E49" s="268"/>
      <c r="G49" s="263"/>
    </row>
    <row r="50" s="186" customFormat="1" ht="7.5" customHeight="1" spans="1:7">
      <c r="A50" s="269"/>
      <c r="B50" s="390"/>
      <c r="C50" s="185"/>
      <c r="D50" s="391"/>
      <c r="E50" s="391"/>
    </row>
    <row r="51" s="186" customFormat="1" ht="24.95" customHeight="1" spans="1:7">
      <c r="A51" s="392"/>
      <c r="B51" s="392"/>
      <c r="C51" s="392"/>
      <c r="D51" s="392"/>
      <c r="E51" s="392"/>
      <c r="G51" s="185"/>
    </row>
    <row r="52" s="186" customFormat="1" ht="24.95" customHeight="1" spans="1:7">
      <c r="A52" s="393"/>
      <c r="B52" s="393"/>
      <c r="C52" s="393"/>
      <c r="D52" s="393"/>
      <c r="E52" s="393"/>
      <c r="G52" s="185"/>
    </row>
    <row r="53" s="186" customFormat="1" ht="20.1" customHeight="1" spans="1:7">
      <c r="A53" s="394"/>
      <c r="B53" s="394"/>
      <c r="C53" s="395"/>
      <c r="D53" s="396"/>
      <c r="E53" s="397"/>
      <c r="G53" s="185"/>
    </row>
    <row r="54" s="186" customFormat="1" ht="20.1" customHeight="1" spans="1:7">
      <c r="A54" s="394"/>
      <c r="B54" s="394"/>
      <c r="C54" s="395"/>
      <c r="D54" s="396"/>
      <c r="E54" s="398"/>
      <c r="G54" s="185"/>
    </row>
    <row r="55" s="186" customFormat="1" ht="20.1" customHeight="1" spans="1:7">
      <c r="A55" s="394"/>
      <c r="B55" s="394"/>
      <c r="C55" s="395"/>
      <c r="D55" s="396"/>
      <c r="E55" s="398"/>
      <c r="G55" s="185"/>
    </row>
    <row r="56" s="186" customFormat="1" ht="20.1" customHeight="1" spans="1:7">
      <c r="A56" s="394"/>
      <c r="B56" s="394"/>
      <c r="C56" s="395"/>
      <c r="D56" s="396"/>
      <c r="E56" s="398"/>
      <c r="G56" s="185"/>
    </row>
    <row r="57" s="186" customFormat="1" ht="17.25" spans="1:7">
      <c r="A57" s="394"/>
      <c r="B57" s="394"/>
      <c r="C57" s="395"/>
      <c r="D57" s="396"/>
      <c r="E57" s="399"/>
      <c r="G57" s="185"/>
    </row>
  </sheetData>
  <mergeCells count="32">
    <mergeCell ref="A1:D1"/>
    <mergeCell ref="A3:D3"/>
    <mergeCell ref="A4:D4"/>
    <mergeCell ref="A8:E8"/>
    <mergeCell ref="A9:E9"/>
    <mergeCell ref="A13:D13"/>
    <mergeCell ref="A14:D14"/>
    <mergeCell ref="A15:B15"/>
    <mergeCell ref="C15:D15"/>
    <mergeCell ref="A16:B16"/>
    <mergeCell ref="C16:D16"/>
    <mergeCell ref="A17:B17"/>
    <mergeCell ref="C17:D17"/>
    <mergeCell ref="A19:D19"/>
    <mergeCell ref="A24:D24"/>
    <mergeCell ref="A28:E28"/>
    <mergeCell ref="A29:E29"/>
    <mergeCell ref="A33:D33"/>
    <mergeCell ref="A34:B34"/>
    <mergeCell ref="C34:D34"/>
    <mergeCell ref="A35:B35"/>
    <mergeCell ref="C35:D35"/>
    <mergeCell ref="A37:E37"/>
    <mergeCell ref="A51:E51"/>
    <mergeCell ref="A52:B52"/>
    <mergeCell ref="A53:B53"/>
    <mergeCell ref="A54:B54"/>
    <mergeCell ref="A55:B55"/>
    <mergeCell ref="A56:B56"/>
    <mergeCell ref="A57:B57"/>
    <mergeCell ref="A39:A49"/>
    <mergeCell ref="E53:E57"/>
  </mergeCells>
  <pageMargins left="1.18110236220472" right="0.748031496062992" top="0.196850393700787" bottom="0.196850393700787" header="0.511811023622047" footer="0.511811023622047"/>
  <pageSetup paperSize="9" scale="63" orientation="portrait" horizontalDpi="300" verticalDpi="300"/>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K107"/>
  <sheetViews>
    <sheetView showGridLines="0" topLeftCell="A98" workbookViewId="0">
      <selection activeCell="I69" sqref="I69"/>
    </sheetView>
  </sheetViews>
  <sheetFormatPr defaultColWidth="9.14285714285714" defaultRowHeight="15.75"/>
  <cols>
    <col min="1" max="3" width="25.7142857142857" style="186" customWidth="1"/>
    <col min="4" max="4" width="31.7142857142857" style="186" customWidth="1"/>
    <col min="5" max="5" width="28.4285714285714" style="186" customWidth="1"/>
    <col min="6" max="8" width="25.7142857142857" style="185" customWidth="1"/>
    <col min="9" max="10" width="9.14285714285714" style="186"/>
    <col min="11" max="11" width="9.14285714285714" style="185"/>
    <col min="12" max="16384" width="9.14285714285714" style="186"/>
  </cols>
  <sheetData>
    <row r="1" s="324" customFormat="1" ht="33.75" customHeight="1" spans="1:11">
      <c r="A1" s="325" t="s">
        <v>0</v>
      </c>
      <c r="B1" s="326"/>
      <c r="C1" s="326"/>
      <c r="D1" s="326"/>
      <c r="E1" s="326"/>
      <c r="F1" s="326"/>
      <c r="G1" s="327"/>
    </row>
    <row r="2" s="184" customFormat="1" ht="24.95" customHeight="1" spans="1:11">
      <c r="A2" s="258" t="s">
        <v>321</v>
      </c>
      <c r="B2" s="259"/>
      <c r="C2" s="259"/>
      <c r="D2" s="259"/>
      <c r="E2" s="259"/>
      <c r="F2" s="259"/>
      <c r="G2" s="259"/>
    </row>
    <row r="3" spans="1:11">
      <c r="A3" s="260" t="s">
        <v>322</v>
      </c>
      <c r="B3" s="262" t="s">
        <v>323</v>
      </c>
      <c r="C3" s="261" t="s">
        <v>324</v>
      </c>
      <c r="D3" s="261" t="s">
        <v>325</v>
      </c>
      <c r="E3" s="261" t="s">
        <v>326</v>
      </c>
      <c r="F3" s="262" t="s">
        <v>327</v>
      </c>
      <c r="G3" s="262" t="s">
        <v>328</v>
      </c>
      <c r="H3" s="186"/>
      <c r="K3" s="186"/>
    </row>
    <row r="4" ht="31.5" spans="1:11">
      <c r="A4" s="328" t="s">
        <v>329</v>
      </c>
      <c r="B4" s="265" t="s">
        <v>330</v>
      </c>
      <c r="C4" s="266">
        <v>13.53</v>
      </c>
      <c r="D4" s="267">
        <f>COUNT('101'!#REF!,'101'!#REF!,'101'!#REF!,'101'!#REF!,'101'!#REF!,'101'!#REF!,'101'!#REF!,'101'!#REF!,'101'!#REF!,'101'!#REF!,'101'!#REF!,'101'!#REF!,'101'!#REF!,'101'!#REF!,'101'!#REF!)</f>
        <v>0</v>
      </c>
      <c r="E4" s="267"/>
      <c r="F4" s="267">
        <f>D4*E4</f>
        <v>0</v>
      </c>
      <c r="G4" s="268">
        <f>C4*D4*E4</f>
        <v>0</v>
      </c>
      <c r="H4" s="186"/>
      <c r="I4" s="329"/>
      <c r="K4" s="186"/>
    </row>
    <row r="5" ht="31.5" spans="1:11">
      <c r="A5" s="330"/>
      <c r="B5" s="265" t="s">
        <v>331</v>
      </c>
      <c r="C5" s="266">
        <v>11.7</v>
      </c>
      <c r="D5" s="267">
        <f>COUNT('101'!#REF!,'101'!#REF!,'101'!#REF!,'101'!#REF!,'101'!#REF!,'101'!#REF!,'101'!#REF!,'101'!#REF!,'101'!#REF!,'101'!#REF!,'101'!#REF!,'101'!#REF!,'101'!#REF!,'101'!#REF!,'101'!#REF!,'101'!#REF!,'101'!#REF!)</f>
        <v>0</v>
      </c>
      <c r="E5" s="267"/>
      <c r="F5" s="267">
        <f t="shared" ref="F5:F9" si="0">D5*E5</f>
        <v>0</v>
      </c>
      <c r="G5" s="268">
        <f t="shared" ref="G5:G9" si="1">C5*D5*E5</f>
        <v>0</v>
      </c>
      <c r="H5" s="186"/>
      <c r="I5" s="329"/>
      <c r="K5" s="186"/>
    </row>
    <row r="6" spans="1:11">
      <c r="A6" s="330"/>
      <c r="B6" s="265" t="s">
        <v>332</v>
      </c>
      <c r="C6" s="266">
        <v>6</v>
      </c>
      <c r="D6" s="267">
        <f>COUNT('101'!#REF!)</f>
        <v>0</v>
      </c>
      <c r="E6" s="267"/>
      <c r="F6" s="267">
        <f t="shared" si="0"/>
        <v>0</v>
      </c>
      <c r="G6" s="268">
        <f t="shared" si="1"/>
        <v>0</v>
      </c>
      <c r="H6" s="186"/>
      <c r="I6" s="329"/>
      <c r="K6" s="186"/>
    </row>
    <row r="7" spans="1:11">
      <c r="A7" s="330"/>
      <c r="B7" s="265" t="s">
        <v>333</v>
      </c>
      <c r="C7" s="266">
        <v>5.7</v>
      </c>
      <c r="D7" s="267">
        <f>COUNT('101'!#REF!,'101'!#REF!)</f>
        <v>0</v>
      </c>
      <c r="E7" s="267"/>
      <c r="F7" s="267">
        <f t="shared" si="0"/>
        <v>0</v>
      </c>
      <c r="G7" s="268">
        <f t="shared" si="1"/>
        <v>0</v>
      </c>
      <c r="H7" s="186"/>
      <c r="I7" s="329"/>
      <c r="K7" s="186"/>
    </row>
    <row r="8" ht="31.5" spans="1:11">
      <c r="A8" s="330"/>
      <c r="B8" s="265" t="s">
        <v>334</v>
      </c>
      <c r="C8" s="266">
        <v>17.33</v>
      </c>
      <c r="D8" s="267">
        <f>COUNT('101'!#REF!,'101'!#REF!,'101'!#REF!,'101'!#REF!)</f>
        <v>0</v>
      </c>
      <c r="E8" s="267"/>
      <c r="F8" s="267">
        <f t="shared" si="0"/>
        <v>0</v>
      </c>
      <c r="G8" s="268">
        <f t="shared" si="1"/>
        <v>0</v>
      </c>
      <c r="H8" s="186"/>
      <c r="I8" s="329"/>
      <c r="K8" s="186"/>
    </row>
    <row r="9" spans="1:11">
      <c r="A9" s="331"/>
      <c r="B9" s="265"/>
      <c r="C9" s="266"/>
      <c r="D9" s="267"/>
      <c r="E9" s="332"/>
      <c r="F9" s="333">
        <f t="shared" si="0"/>
        <v>0</v>
      </c>
      <c r="G9" s="334">
        <f t="shared" si="1"/>
        <v>0</v>
      </c>
      <c r="H9" s="186"/>
      <c r="I9" s="329"/>
      <c r="K9" s="186"/>
    </row>
    <row r="10" ht="27.75" customHeight="1" spans="1:11">
      <c r="E10" s="335" t="s">
        <v>335</v>
      </c>
      <c r="F10" s="157">
        <f>SUM(F4:F9)</f>
        <v>0</v>
      </c>
      <c r="G10" s="336">
        <f>SUM(G4:G9)</f>
        <v>0</v>
      </c>
    </row>
    <row r="11" ht="5.1" customHeight="1"/>
    <row r="12" s="324" customFormat="1" ht="33.75" customHeight="1" spans="1:11">
      <c r="A12" s="325" t="s">
        <v>25</v>
      </c>
      <c r="B12" s="326"/>
      <c r="C12" s="326"/>
      <c r="D12" s="326"/>
      <c r="E12" s="326"/>
      <c r="F12" s="326"/>
      <c r="G12" s="327"/>
    </row>
    <row r="13" s="184" customFormat="1" ht="24.95" customHeight="1" spans="1:11">
      <c r="A13" s="258" t="s">
        <v>321</v>
      </c>
      <c r="B13" s="259"/>
      <c r="C13" s="259"/>
      <c r="D13" s="259"/>
      <c r="E13" s="259"/>
      <c r="F13" s="259"/>
      <c r="G13" s="259"/>
    </row>
    <row r="14" spans="1:11">
      <c r="A14" s="260" t="s">
        <v>322</v>
      </c>
      <c r="B14" s="262" t="s">
        <v>323</v>
      </c>
      <c r="C14" s="261" t="s">
        <v>324</v>
      </c>
      <c r="D14" s="261" t="s">
        <v>325</v>
      </c>
      <c r="E14" s="261" t="s">
        <v>326</v>
      </c>
      <c r="F14" s="262" t="s">
        <v>327</v>
      </c>
      <c r="G14" s="262" t="s">
        <v>328</v>
      </c>
      <c r="H14" s="186"/>
      <c r="K14" s="186"/>
    </row>
    <row r="15" ht="31.5" spans="1:11">
      <c r="A15" s="264" t="s">
        <v>329</v>
      </c>
      <c r="B15" s="265" t="s">
        <v>336</v>
      </c>
      <c r="C15" s="266">
        <v>12.2</v>
      </c>
      <c r="D15" s="267">
        <f>COUNT('102'!D7,'102'!D11,'102'!D12,'102'!D13,'102'!D14,'102'!D15,'102'!D16,'102'!D17,'102'!D18,'102'!D19,'102'!D20,'102'!D21,'102'!D22,'102'!D23,'102'!D24,'102'!D25)</f>
        <v>0</v>
      </c>
      <c r="E15" s="267"/>
      <c r="F15" s="267">
        <f>D15*E15</f>
        <v>0</v>
      </c>
      <c r="G15" s="268">
        <f>C15*D15*E15</f>
        <v>0</v>
      </c>
      <c r="H15" s="186"/>
      <c r="I15" s="329"/>
      <c r="K15" s="186"/>
    </row>
    <row r="16" ht="31.5" spans="1:11">
      <c r="A16" s="264"/>
      <c r="B16" s="265" t="s">
        <v>337</v>
      </c>
      <c r="C16" s="266">
        <v>11.8</v>
      </c>
      <c r="D16" s="267">
        <f>COUNT('102'!A9,'102'!A11,'102'!A12,'102'!A13,'102'!A14,'102'!A15,'102'!A16,'102'!A17,'102'!A18,'102'!A19,'102'!A20,'102'!A21,'102'!A22,'102'!A23,'102'!A24,'102'!A25,'102'!A28,'102'!A31)</f>
        <v>18</v>
      </c>
      <c r="E16" s="267"/>
      <c r="F16" s="267">
        <f t="shared" ref="F16:F20" si="2">D16*E16</f>
        <v>0</v>
      </c>
      <c r="G16" s="268">
        <f t="shared" ref="G16:G20" si="3">C16*D16*E16</f>
        <v>0</v>
      </c>
      <c r="H16" s="186"/>
      <c r="I16" s="329"/>
      <c r="K16" s="186"/>
    </row>
    <row r="17" ht="31.5" spans="1:11">
      <c r="A17" s="264"/>
      <c r="B17" s="265" t="s">
        <v>338</v>
      </c>
      <c r="C17" s="266">
        <v>15.4</v>
      </c>
      <c r="D17" s="267">
        <f>COUNT('102'!D9,'102'!D28)</f>
        <v>2</v>
      </c>
      <c r="E17" s="267"/>
      <c r="F17" s="267">
        <f t="shared" si="2"/>
        <v>0</v>
      </c>
      <c r="G17" s="268">
        <f t="shared" si="3"/>
        <v>0</v>
      </c>
      <c r="H17" s="186"/>
      <c r="I17" s="329"/>
      <c r="K17" s="186"/>
    </row>
    <row r="18" spans="1:11">
      <c r="A18" s="264"/>
      <c r="B18" s="265" t="s">
        <v>339</v>
      </c>
      <c r="C18" s="266">
        <v>6.6</v>
      </c>
      <c r="D18" s="267">
        <f>COUNT('102'!D6)</f>
        <v>0</v>
      </c>
      <c r="E18" s="267"/>
      <c r="F18" s="267">
        <f t="shared" si="2"/>
        <v>0</v>
      </c>
      <c r="G18" s="268">
        <f t="shared" si="3"/>
        <v>0</v>
      </c>
      <c r="H18" s="186"/>
      <c r="I18" s="329"/>
      <c r="K18" s="186"/>
    </row>
    <row r="19" spans="1:11">
      <c r="A19" s="264"/>
      <c r="B19" s="265" t="s">
        <v>340</v>
      </c>
      <c r="C19" s="266">
        <v>5.2</v>
      </c>
      <c r="D19" s="267">
        <f>COUNT('102'!B31)</f>
        <v>0</v>
      </c>
      <c r="E19" s="267"/>
      <c r="F19" s="267">
        <f t="shared" si="2"/>
        <v>0</v>
      </c>
      <c r="G19" s="268">
        <f t="shared" si="3"/>
        <v>0</v>
      </c>
      <c r="H19" s="186"/>
      <c r="I19" s="329"/>
      <c r="K19" s="186"/>
    </row>
    <row r="20" spans="1:11">
      <c r="A20" s="264"/>
      <c r="B20" s="265" t="s">
        <v>341</v>
      </c>
      <c r="C20" s="266">
        <v>6</v>
      </c>
      <c r="D20" s="267">
        <f>COUNT('102'!E28)</f>
        <v>0</v>
      </c>
      <c r="E20" s="267"/>
      <c r="F20" s="267">
        <f t="shared" si="2"/>
        <v>0</v>
      </c>
      <c r="G20" s="268">
        <f t="shared" si="3"/>
        <v>0</v>
      </c>
      <c r="H20" s="186"/>
      <c r="I20" s="329"/>
      <c r="K20" s="186"/>
    </row>
    <row r="21" ht="31.5" spans="1:11">
      <c r="A21" s="264"/>
      <c r="B21" s="265" t="s">
        <v>342</v>
      </c>
      <c r="C21" s="266">
        <v>10.9</v>
      </c>
      <c r="D21" s="267">
        <v>1</v>
      </c>
      <c r="E21" s="267"/>
      <c r="F21" s="267">
        <f t="shared" ref="F21:F22" si="4">D21*E21</f>
        <v>0</v>
      </c>
      <c r="G21" s="268">
        <f t="shared" ref="G21:G22" si="5">C21*D21*E21</f>
        <v>0</v>
      </c>
      <c r="H21" s="186"/>
      <c r="I21" s="329"/>
      <c r="K21" s="186"/>
    </row>
    <row r="22" spans="1:11">
      <c r="A22" s="264"/>
      <c r="B22" s="265" t="s">
        <v>343</v>
      </c>
      <c r="C22" s="266">
        <v>5.2</v>
      </c>
      <c r="D22" s="267">
        <v>1</v>
      </c>
      <c r="E22" s="267"/>
      <c r="F22" s="267">
        <f t="shared" si="4"/>
        <v>0</v>
      </c>
      <c r="G22" s="268">
        <f t="shared" si="5"/>
        <v>0</v>
      </c>
      <c r="H22" s="186"/>
      <c r="I22" s="329"/>
      <c r="K22" s="186"/>
    </row>
    <row r="23" ht="27.75" customHeight="1" spans="1:11">
      <c r="E23" s="337" t="s">
        <v>335</v>
      </c>
      <c r="F23" s="338">
        <f>SUM(F15:F22)</f>
        <v>0</v>
      </c>
      <c r="G23" s="339">
        <f>SUM(G15:G22)</f>
        <v>0</v>
      </c>
    </row>
    <row r="24" ht="5.1" customHeight="1"/>
    <row r="25" s="324" customFormat="1" ht="33.75" customHeight="1" spans="1:11">
      <c r="A25" s="325" t="s">
        <v>43</v>
      </c>
      <c r="B25" s="326"/>
      <c r="C25" s="326"/>
      <c r="D25" s="326"/>
      <c r="E25" s="326"/>
      <c r="F25" s="326"/>
      <c r="G25" s="327"/>
    </row>
    <row r="26" s="184" customFormat="1" ht="24.95" customHeight="1" spans="1:11">
      <c r="A26" s="258" t="s">
        <v>321</v>
      </c>
      <c r="B26" s="259"/>
      <c r="C26" s="259"/>
      <c r="D26" s="259"/>
      <c r="E26" s="259"/>
      <c r="F26" s="259"/>
      <c r="G26" s="259"/>
    </row>
    <row r="27" spans="1:11">
      <c r="A27" s="260" t="s">
        <v>322</v>
      </c>
      <c r="B27" s="262" t="s">
        <v>323</v>
      </c>
      <c r="C27" s="261" t="s">
        <v>324</v>
      </c>
      <c r="D27" s="261" t="s">
        <v>325</v>
      </c>
      <c r="E27" s="261" t="s">
        <v>326</v>
      </c>
      <c r="F27" s="262" t="s">
        <v>327</v>
      </c>
      <c r="G27" s="262" t="s">
        <v>328</v>
      </c>
      <c r="H27" s="186"/>
      <c r="K27" s="186"/>
    </row>
    <row r="28" spans="1:11">
      <c r="A28" s="328" t="s">
        <v>329</v>
      </c>
      <c r="B28" s="265" t="s">
        <v>344</v>
      </c>
      <c r="C28" s="266">
        <v>7.7</v>
      </c>
      <c r="D28" s="267">
        <f>COUNT('103'!C7,'103'!C8,'103'!C9,'103'!C10,'103'!C11,'103'!C12,'103'!C13,'103'!C18,'103'!C19,'103'!C20,'103'!C21,'103'!C22,'103'!C23,'103'!C28,'103'!C29,'103'!C30,'103'!C31,'103'!C32,'103'!C33)</f>
        <v>19</v>
      </c>
      <c r="E28" s="267"/>
      <c r="F28" s="267">
        <f>D28*E28</f>
        <v>0</v>
      </c>
      <c r="G28" s="268">
        <f>C28*D28*E28</f>
        <v>0</v>
      </c>
      <c r="H28" s="186"/>
      <c r="I28" s="329"/>
      <c r="K28" s="186"/>
    </row>
    <row r="29" spans="1:11">
      <c r="A29" s="330"/>
      <c r="B29" s="265" t="s">
        <v>345</v>
      </c>
      <c r="C29" s="266">
        <v>6.2</v>
      </c>
      <c r="D29" s="267">
        <f>COUNT('103'!A9,'103'!A10,'103'!A11,'103'!A12,'103'!A13,'103'!A14,'103'!A18,'103'!A19,'103'!A20,'103'!A21,'103'!A22,'103'!A23,'103'!A24,'103'!A28,'103'!A29,'103'!A30,'103'!A31,'103'!A32,'103'!A33)</f>
        <v>19</v>
      </c>
      <c r="E29" s="267"/>
      <c r="F29" s="267">
        <f t="shared" ref="F29:F31" si="6">D29*E29</f>
        <v>0</v>
      </c>
      <c r="G29" s="268">
        <f t="shared" ref="G29:G31" si="7">C29*D29*E29</f>
        <v>0</v>
      </c>
      <c r="H29" s="186"/>
      <c r="I29" s="329"/>
      <c r="K29" s="186"/>
    </row>
    <row r="30" spans="1:11">
      <c r="A30" s="330"/>
      <c r="B30" s="265" t="s">
        <v>346</v>
      </c>
      <c r="C30" s="266">
        <v>5.7</v>
      </c>
      <c r="D30" s="267">
        <f>COUNT('103'!B14,'103'!B24)</f>
        <v>2</v>
      </c>
      <c r="E30" s="267"/>
      <c r="F30" s="267">
        <f t="shared" si="6"/>
        <v>0</v>
      </c>
      <c r="G30" s="268">
        <f t="shared" si="7"/>
        <v>0</v>
      </c>
      <c r="H30" s="186"/>
      <c r="I30" s="329"/>
      <c r="K30" s="186"/>
    </row>
    <row r="31" spans="1:11">
      <c r="A31" s="330"/>
      <c r="B31" s="265" t="s">
        <v>347</v>
      </c>
      <c r="C31" s="266">
        <v>5.6</v>
      </c>
      <c r="D31" s="267">
        <f>COUNT('103'!A7,'103'!A8)</f>
        <v>2</v>
      </c>
      <c r="E31" s="267"/>
      <c r="F31" s="267">
        <f t="shared" si="6"/>
        <v>0</v>
      </c>
      <c r="G31" s="268">
        <f t="shared" si="7"/>
        <v>0</v>
      </c>
      <c r="H31" s="186"/>
      <c r="I31" s="329"/>
      <c r="K31" s="186"/>
    </row>
    <row r="32" ht="27.75" customHeight="1" spans="1:11">
      <c r="E32" s="335" t="s">
        <v>335</v>
      </c>
      <c r="F32" s="157">
        <f>SUM(F28:F31)</f>
        <v>0</v>
      </c>
      <c r="G32" s="336">
        <f>SUM(G28:G31)</f>
        <v>0</v>
      </c>
    </row>
    <row r="33" ht="5.1" customHeight="1" spans="1:11">
      <c r="E33" s="340"/>
      <c r="F33" s="341"/>
      <c r="G33" s="341"/>
    </row>
    <row r="34" s="324" customFormat="1" ht="33.75" customHeight="1" spans="1:11">
      <c r="A34" s="325" t="s">
        <v>60</v>
      </c>
      <c r="B34" s="326"/>
      <c r="C34" s="326"/>
      <c r="D34" s="326"/>
      <c r="E34" s="326"/>
      <c r="F34" s="326"/>
      <c r="G34" s="327"/>
    </row>
    <row r="35" s="184" customFormat="1" ht="24.95" customHeight="1" spans="1:11">
      <c r="A35" s="258" t="s">
        <v>321</v>
      </c>
      <c r="B35" s="259"/>
      <c r="C35" s="259"/>
      <c r="D35" s="259"/>
      <c r="E35" s="259"/>
      <c r="F35" s="259"/>
      <c r="G35" s="259"/>
    </row>
    <row r="36" ht="31.5" spans="1:11">
      <c r="A36" s="260" t="s">
        <v>322</v>
      </c>
      <c r="B36" s="262" t="s">
        <v>348</v>
      </c>
      <c r="C36" s="262" t="s">
        <v>323</v>
      </c>
      <c r="D36" s="261" t="s">
        <v>324</v>
      </c>
      <c r="E36" s="261" t="s">
        <v>325</v>
      </c>
      <c r="F36" s="261" t="s">
        <v>326</v>
      </c>
      <c r="G36" s="262" t="s">
        <v>327</v>
      </c>
      <c r="H36" s="262" t="s">
        <v>328</v>
      </c>
      <c r="K36" s="186"/>
    </row>
    <row r="37" ht="31.5" spans="1:11">
      <c r="A37" s="328" t="s">
        <v>329</v>
      </c>
      <c r="B37" s="342" t="s">
        <v>13</v>
      </c>
      <c r="C37" s="265" t="s">
        <v>349</v>
      </c>
      <c r="D37" s="266">
        <v>11.6</v>
      </c>
      <c r="E37" s="267">
        <f>COUNT('107'!#REF!,'107'!#REF!,'107'!#REF!,'107'!#REF!,'107'!#REF!,'107'!#REF!,'107'!#REF!,'107'!#REF!)</f>
        <v>0</v>
      </c>
      <c r="F37" s="267"/>
      <c r="G37" s="267">
        <f>E37*F37</f>
        <v>0</v>
      </c>
      <c r="H37" s="268">
        <f>D37*E37*F37</f>
        <v>0</v>
      </c>
      <c r="I37" s="329"/>
      <c r="K37" s="186"/>
    </row>
    <row r="38" ht="31.5" spans="1:11">
      <c r="A38" s="330"/>
      <c r="B38" s="343"/>
      <c r="C38" s="265" t="s">
        <v>350</v>
      </c>
      <c r="D38" s="266">
        <v>10.2</v>
      </c>
      <c r="E38" s="267">
        <f>COUNT('107'!#REF!,'107'!#REF!,'107'!#REF!,'107'!#REF!,'107'!#REF!,'107'!#REF!,'107'!#REF!,'107'!#REF!)</f>
        <v>0</v>
      </c>
      <c r="F38" s="267"/>
      <c r="G38" s="267">
        <f t="shared" ref="G38:G45" si="8">E38*F38</f>
        <v>0</v>
      </c>
      <c r="H38" s="268">
        <f t="shared" ref="H38:H45" si="9">D38*E38*F38</f>
        <v>0</v>
      </c>
      <c r="I38" s="329"/>
      <c r="K38" s="186"/>
    </row>
    <row r="39" spans="1:11">
      <c r="A39" s="330"/>
      <c r="B39" s="343"/>
      <c r="C39" s="265" t="s">
        <v>351</v>
      </c>
      <c r="D39" s="266">
        <v>4.2</v>
      </c>
      <c r="E39" s="267">
        <f>COUNT('107'!#REF!)</f>
        <v>0</v>
      </c>
      <c r="F39" s="267"/>
      <c r="G39" s="267">
        <f t="shared" si="8"/>
        <v>0</v>
      </c>
      <c r="H39" s="268">
        <f t="shared" si="9"/>
        <v>0</v>
      </c>
      <c r="I39" s="329"/>
      <c r="K39" s="186"/>
    </row>
    <row r="40" spans="1:11">
      <c r="A40" s="330"/>
      <c r="B40" s="343"/>
      <c r="C40" s="265" t="s">
        <v>352</v>
      </c>
      <c r="D40" s="266">
        <v>5.1</v>
      </c>
      <c r="E40" s="267">
        <f>COUNT('107'!#REF!)</f>
        <v>0</v>
      </c>
      <c r="F40" s="267"/>
      <c r="G40" s="267">
        <f t="shared" si="8"/>
        <v>0</v>
      </c>
      <c r="H40" s="268">
        <f t="shared" si="9"/>
        <v>0</v>
      </c>
      <c r="I40" s="329"/>
      <c r="K40" s="186"/>
    </row>
    <row r="41" spans="1:11">
      <c r="A41" s="330"/>
      <c r="B41" s="344"/>
      <c r="C41" s="265" t="s">
        <v>353</v>
      </c>
      <c r="D41" s="266">
        <v>6.6</v>
      </c>
      <c r="E41" s="267">
        <f>COUNT('107'!#REF!)</f>
        <v>0</v>
      </c>
      <c r="F41" s="267"/>
      <c r="G41" s="267">
        <f t="shared" si="8"/>
        <v>0</v>
      </c>
      <c r="H41" s="268">
        <f t="shared" si="9"/>
        <v>0</v>
      </c>
      <c r="I41" s="329"/>
      <c r="K41" s="186"/>
    </row>
    <row r="42" ht="31.5" spans="1:11">
      <c r="A42" s="330"/>
      <c r="B42" s="345" t="s">
        <v>14</v>
      </c>
      <c r="C42" s="346" t="s">
        <v>349</v>
      </c>
      <c r="D42" s="347">
        <v>11.6</v>
      </c>
      <c r="E42" s="348">
        <f>COUNT('107'!#REF!,'107'!#REF!,'107'!#REF!,'107'!#REF!,'107'!#REF!,'107'!#REF!,'107'!#REF!,'107'!#REF!,'107'!#REF!)</f>
        <v>0</v>
      </c>
      <c r="F42" s="348"/>
      <c r="G42" s="348">
        <f t="shared" si="8"/>
        <v>0</v>
      </c>
      <c r="H42" s="349">
        <f t="shared" si="9"/>
        <v>0</v>
      </c>
      <c r="I42" s="329"/>
      <c r="K42" s="186"/>
    </row>
    <row r="43" ht="31.5" spans="1:11">
      <c r="A43" s="330"/>
      <c r="B43" s="350"/>
      <c r="C43" s="346" t="s">
        <v>350</v>
      </c>
      <c r="D43" s="347">
        <v>10.2</v>
      </c>
      <c r="E43" s="348">
        <f>COUNT('107'!#REF!,'107'!#REF!,'107'!#REF!,'107'!#REF!,'107'!#REF!,'107'!#REF!,'107'!#REF!)</f>
        <v>0</v>
      </c>
      <c r="F43" s="348"/>
      <c r="G43" s="348">
        <f t="shared" ref="G43:G44" si="10">E43*F43</f>
        <v>0</v>
      </c>
      <c r="H43" s="349">
        <f t="shared" ref="H43:H44" si="11">D43*E43*F43</f>
        <v>0</v>
      </c>
      <c r="I43" s="329"/>
      <c r="K43" s="186"/>
    </row>
    <row r="44" spans="1:11">
      <c r="A44" s="330"/>
      <c r="B44" s="350"/>
      <c r="C44" s="346" t="s">
        <v>351</v>
      </c>
      <c r="D44" s="347">
        <v>4.2</v>
      </c>
      <c r="E44" s="348">
        <f>COUNT('107'!#REF!,'107'!#REF!)</f>
        <v>0</v>
      </c>
      <c r="F44" s="348"/>
      <c r="G44" s="348">
        <f t="shared" si="10"/>
        <v>0</v>
      </c>
      <c r="H44" s="349">
        <f t="shared" si="11"/>
        <v>0</v>
      </c>
      <c r="I44" s="329"/>
      <c r="K44" s="186"/>
    </row>
    <row r="45" spans="1:11">
      <c r="A45" s="331"/>
      <c r="B45" s="351"/>
      <c r="C45" s="346" t="s">
        <v>341</v>
      </c>
      <c r="D45" s="347">
        <v>6</v>
      </c>
      <c r="E45" s="348">
        <f>COUNT('107'!#REF!)</f>
        <v>0</v>
      </c>
      <c r="F45" s="352"/>
      <c r="G45" s="352">
        <f t="shared" si="8"/>
        <v>0</v>
      </c>
      <c r="H45" s="353">
        <f t="shared" si="9"/>
        <v>0</v>
      </c>
      <c r="I45" s="329"/>
      <c r="K45" s="186"/>
    </row>
    <row r="46" ht="27.75" customHeight="1" spans="1:11">
      <c r="F46" s="335" t="s">
        <v>335</v>
      </c>
      <c r="G46" s="157">
        <f>SUM(G37:G45)</f>
        <v>0</v>
      </c>
      <c r="H46" s="336">
        <f>SUM(H37:H45)</f>
        <v>0</v>
      </c>
    </row>
    <row r="47" ht="5.1" customHeight="1"/>
    <row r="48" s="324" customFormat="1" ht="33.75" customHeight="1" spans="1:11">
      <c r="A48" s="325" t="s">
        <v>87</v>
      </c>
      <c r="B48" s="326"/>
      <c r="C48" s="326"/>
      <c r="D48" s="326"/>
      <c r="E48" s="326"/>
      <c r="F48" s="326"/>
      <c r="G48" s="327"/>
    </row>
    <row r="49" s="184" customFormat="1" ht="24.95" customHeight="1" spans="1:11">
      <c r="A49" s="258" t="s">
        <v>321</v>
      </c>
      <c r="B49" s="259"/>
      <c r="C49" s="259"/>
      <c r="D49" s="259"/>
      <c r="E49" s="259"/>
      <c r="F49" s="259"/>
      <c r="G49" s="259"/>
    </row>
    <row r="50" spans="1:11">
      <c r="A50" s="260" t="s">
        <v>322</v>
      </c>
      <c r="B50" s="262" t="s">
        <v>323</v>
      </c>
      <c r="C50" s="261" t="s">
        <v>324</v>
      </c>
      <c r="D50" s="261" t="s">
        <v>325</v>
      </c>
      <c r="E50" s="261" t="s">
        <v>326</v>
      </c>
      <c r="F50" s="262" t="s">
        <v>327</v>
      </c>
      <c r="G50" s="262" t="s">
        <v>328</v>
      </c>
      <c r="H50" s="186"/>
      <c r="K50" s="186"/>
    </row>
    <row r="51" ht="31.5" spans="1:11">
      <c r="A51" s="328" t="s">
        <v>329</v>
      </c>
      <c r="B51" s="265" t="s">
        <v>354</v>
      </c>
      <c r="C51" s="266">
        <v>8</v>
      </c>
      <c r="D51" s="267">
        <f>COUNT('110'!#REF!,'110'!#REF!,'110'!#REF!,'110'!#REF!,'110'!#REF!,'110'!#REF!,'110'!#REF!,'110'!#REF!,'110'!#REF!)</f>
        <v>0</v>
      </c>
      <c r="E51" s="267"/>
      <c r="F51" s="267">
        <f>D51*E51</f>
        <v>0</v>
      </c>
      <c r="G51" s="268">
        <f>C51*D51*E51</f>
        <v>0</v>
      </c>
      <c r="H51" s="186"/>
      <c r="I51" s="329"/>
      <c r="K51" s="186"/>
    </row>
    <row r="52" ht="31.5" spans="1:11">
      <c r="A52" s="330"/>
      <c r="B52" s="265" t="s">
        <v>355</v>
      </c>
      <c r="C52" s="266">
        <v>6.8</v>
      </c>
      <c r="D52" s="267">
        <f>COUNT('110'!#REF!,'110'!#REF!,'110'!#REF!,'110'!#REF!,'110'!#REF!,'110'!#REF!,'110'!#REF!,'110'!#REF!)</f>
        <v>0</v>
      </c>
      <c r="E52" s="267"/>
      <c r="F52" s="267">
        <f t="shared" ref="F52:F53" si="12">D52*E52</f>
        <v>0</v>
      </c>
      <c r="G52" s="268">
        <f t="shared" ref="G52:G53" si="13">C52*D52*E52</f>
        <v>0</v>
      </c>
      <c r="H52" s="186"/>
      <c r="I52" s="329"/>
      <c r="K52" s="186"/>
    </row>
    <row r="53" ht="47.25" spans="1:11">
      <c r="A53" s="331"/>
      <c r="B53" s="265" t="s">
        <v>356</v>
      </c>
      <c r="C53" s="266">
        <v>9.2</v>
      </c>
      <c r="D53" s="267">
        <f>COUNT('110'!#REF!)</f>
        <v>0</v>
      </c>
      <c r="E53" s="267"/>
      <c r="F53" s="267">
        <f t="shared" si="12"/>
        <v>0</v>
      </c>
      <c r="G53" s="268">
        <f t="shared" si="13"/>
        <v>0</v>
      </c>
      <c r="H53" s="186"/>
      <c r="I53" s="329"/>
      <c r="K53" s="186"/>
    </row>
    <row r="54" ht="27.75" customHeight="1" spans="1:11">
      <c r="E54" s="335" t="s">
        <v>335</v>
      </c>
      <c r="F54" s="157">
        <f>SUM(F51:F53)</f>
        <v>0</v>
      </c>
      <c r="G54" s="336">
        <f>SUM(G51:G53)</f>
        <v>0</v>
      </c>
    </row>
    <row r="55" ht="5.1" customHeight="1"/>
    <row r="56" s="324" customFormat="1" ht="33.75" customHeight="1" spans="1:11">
      <c r="A56" s="325" t="s">
        <v>104</v>
      </c>
      <c r="B56" s="326"/>
      <c r="C56" s="326"/>
      <c r="D56" s="326"/>
      <c r="E56" s="326"/>
      <c r="F56" s="326"/>
      <c r="G56" s="327"/>
    </row>
    <row r="57" s="184" customFormat="1" ht="24.95" customHeight="1" spans="1:11">
      <c r="A57" s="258" t="s">
        <v>321</v>
      </c>
      <c r="B57" s="259"/>
      <c r="C57" s="259"/>
      <c r="D57" s="259"/>
      <c r="E57" s="259"/>
      <c r="F57" s="259"/>
      <c r="G57" s="259"/>
    </row>
    <row r="58" spans="1:11">
      <c r="A58" s="260" t="s">
        <v>322</v>
      </c>
      <c r="B58" s="262" t="s">
        <v>323</v>
      </c>
      <c r="C58" s="261" t="s">
        <v>324</v>
      </c>
      <c r="D58" s="261" t="s">
        <v>325</v>
      </c>
      <c r="E58" s="261" t="s">
        <v>326</v>
      </c>
      <c r="F58" s="262" t="s">
        <v>327</v>
      </c>
      <c r="G58" s="262" t="s">
        <v>328</v>
      </c>
      <c r="H58" s="186"/>
      <c r="K58" s="186"/>
    </row>
    <row r="59" ht="31.5" spans="1:11">
      <c r="A59" s="328" t="s">
        <v>329</v>
      </c>
      <c r="B59" s="265" t="s">
        <v>357</v>
      </c>
      <c r="C59" s="266">
        <v>7.4</v>
      </c>
      <c r="D59" s="267">
        <f>COUNT('112'!C5,'112'!C6,'112'!C8,'112'!C9,'112'!C11,'112'!C12,'112'!C13,'112'!C14,'112'!C16,'112'!C17,'112'!C18)</f>
        <v>11</v>
      </c>
      <c r="E59" s="267"/>
      <c r="F59" s="267">
        <f>D59*E59</f>
        <v>0</v>
      </c>
      <c r="G59" s="268">
        <f>C59*D59*E59</f>
        <v>0</v>
      </c>
      <c r="H59" s="186"/>
      <c r="I59" s="329"/>
      <c r="K59" s="186"/>
    </row>
    <row r="60" spans="1:11">
      <c r="A60" s="330"/>
      <c r="B60" s="265" t="s">
        <v>358</v>
      </c>
      <c r="C60" s="266">
        <v>4.1</v>
      </c>
      <c r="D60" s="267">
        <f>COUNT('112'!A6,'112'!A7,'112'!A8,'112'!A9,'112'!A11,'112'!A12,'112'!A13,'112'!A14,'112'!A16,'112'!A17,'112'!A18,'112'!A19)</f>
        <v>11</v>
      </c>
      <c r="E60" s="267"/>
      <c r="F60" s="267">
        <f t="shared" ref="F60:F62" si="14">D60*E60</f>
        <v>0</v>
      </c>
      <c r="G60" s="268">
        <f t="shared" ref="G60:G62" si="15">C60*D60*E60</f>
        <v>0</v>
      </c>
      <c r="H60" s="186"/>
      <c r="I60" s="329"/>
      <c r="K60" s="186"/>
    </row>
    <row r="61" ht="47.25" spans="1:11">
      <c r="A61" s="330"/>
      <c r="B61" s="265" t="s">
        <v>359</v>
      </c>
      <c r="C61" s="266">
        <v>9.7</v>
      </c>
      <c r="D61" s="267">
        <f>COUNT('112'!C7)</f>
        <v>1</v>
      </c>
      <c r="E61" s="267"/>
      <c r="F61" s="267">
        <f t="shared" si="14"/>
        <v>0</v>
      </c>
      <c r="G61" s="268">
        <f t="shared" si="15"/>
        <v>0</v>
      </c>
      <c r="H61" s="186"/>
      <c r="I61" s="329"/>
      <c r="K61" s="186"/>
    </row>
    <row r="62" spans="1:11">
      <c r="A62" s="330"/>
      <c r="B62" s="265" t="s">
        <v>360</v>
      </c>
      <c r="C62" s="266">
        <v>3.7</v>
      </c>
      <c r="D62" s="267">
        <f>COUNT('112'!B19)</f>
        <v>0</v>
      </c>
      <c r="E62" s="267"/>
      <c r="F62" s="267">
        <f t="shared" si="14"/>
        <v>0</v>
      </c>
      <c r="G62" s="268">
        <f t="shared" si="15"/>
        <v>0</v>
      </c>
      <c r="H62" s="186"/>
      <c r="I62" s="329"/>
      <c r="K62" s="186"/>
    </row>
    <row r="63" spans="1:11">
      <c r="A63" s="330"/>
      <c r="B63" s="265"/>
      <c r="C63" s="266"/>
      <c r="D63" s="267"/>
      <c r="E63" s="267"/>
      <c r="F63" s="267">
        <f t="shared" ref="F63:F64" si="16">D63*E63</f>
        <v>0</v>
      </c>
      <c r="G63" s="268">
        <f t="shared" ref="G63:G64" si="17">C63*D63*E63</f>
        <v>0</v>
      </c>
      <c r="H63" s="186"/>
      <c r="I63" s="329"/>
      <c r="K63" s="186"/>
    </row>
    <row r="64" spans="1:11">
      <c r="A64" s="331"/>
      <c r="B64" s="265"/>
      <c r="C64" s="266"/>
      <c r="D64" s="267"/>
      <c r="E64" s="267"/>
      <c r="F64" s="267">
        <f t="shared" si="16"/>
        <v>0</v>
      </c>
      <c r="G64" s="268">
        <f t="shared" si="17"/>
        <v>0</v>
      </c>
      <c r="H64" s="186"/>
      <c r="I64" s="329"/>
      <c r="K64" s="186"/>
    </row>
    <row r="65" customHeight="1" spans="1:11">
      <c r="E65" s="337" t="s">
        <v>335</v>
      </c>
      <c r="F65" s="338">
        <f>SUM(F59:F64)</f>
        <v>0</v>
      </c>
      <c r="G65" s="339">
        <f>SUM(G59:G64)</f>
        <v>0</v>
      </c>
    </row>
    <row r="66" ht="5.1" customHeight="1"/>
    <row r="67" s="324" customFormat="1" ht="33.75" customHeight="1" spans="1:11">
      <c r="A67" s="325" t="s">
        <v>118</v>
      </c>
      <c r="B67" s="326"/>
      <c r="C67" s="326"/>
      <c r="D67" s="326"/>
      <c r="E67" s="326"/>
      <c r="F67" s="326"/>
      <c r="G67" s="327"/>
    </row>
    <row r="68" s="184" customFormat="1" ht="24.95" customHeight="1" spans="1:11">
      <c r="A68" s="258" t="s">
        <v>321</v>
      </c>
      <c r="B68" s="259"/>
      <c r="C68" s="259"/>
      <c r="D68" s="259"/>
      <c r="E68" s="259"/>
      <c r="F68" s="259"/>
      <c r="G68" s="259"/>
    </row>
    <row r="69" spans="1:11">
      <c r="A69" s="260" t="s">
        <v>322</v>
      </c>
      <c r="B69" s="262" t="s">
        <v>323</v>
      </c>
      <c r="C69" s="261" t="s">
        <v>324</v>
      </c>
      <c r="D69" s="261" t="s">
        <v>325</v>
      </c>
      <c r="E69" s="261" t="s">
        <v>326</v>
      </c>
      <c r="F69" s="262" t="s">
        <v>327</v>
      </c>
      <c r="G69" s="262" t="s">
        <v>328</v>
      </c>
      <c r="H69" s="186"/>
      <c r="K69" s="186"/>
    </row>
    <row r="70" ht="47.25" spans="1:11">
      <c r="A70" s="328" t="s">
        <v>329</v>
      </c>
      <c r="B70" s="265" t="s">
        <v>361</v>
      </c>
      <c r="C70" s="266">
        <v>8.6</v>
      </c>
      <c r="D70" s="267">
        <f>COUNT('113'!D6,'113'!D7,'113'!D8,'113'!D9,'113'!D10,'113'!D11,'113'!D12,'113'!D14,'113'!D15,'113'!D16,'113'!D17,'113'!D18,'113'!D19,'113'!D20,'113'!D21)</f>
        <v>15</v>
      </c>
      <c r="E70" s="267"/>
      <c r="F70" s="267">
        <f>D70*E70</f>
        <v>0</v>
      </c>
      <c r="G70" s="268">
        <f>C70*D70*E70</f>
        <v>0</v>
      </c>
      <c r="H70" s="186"/>
      <c r="I70" s="329"/>
      <c r="K70" s="186"/>
    </row>
    <row r="71" ht="47.25" spans="1:11">
      <c r="A71" s="330"/>
      <c r="B71" s="265" t="s">
        <v>362</v>
      </c>
      <c r="C71" s="266">
        <v>7.22</v>
      </c>
      <c r="D71" s="267">
        <f>COUNT('113'!A6,'113'!A8,'113'!A9,'113'!A10,'113'!A11,'113'!A12,'113'!A14,'113'!A15,'113'!A16,'113'!A17,'113'!A18,'113'!A19,'113'!A20,'113'!A21,'113'!A23)</f>
        <v>14</v>
      </c>
      <c r="E71" s="267"/>
      <c r="F71" s="267">
        <f t="shared" ref="F71:F72" si="18">D71*E71</f>
        <v>0</v>
      </c>
      <c r="G71" s="268">
        <f t="shared" ref="G71:G72" si="19">C71*D71*E71</f>
        <v>0</v>
      </c>
      <c r="H71" s="186"/>
      <c r="I71" s="329"/>
      <c r="K71" s="186"/>
    </row>
    <row r="72" ht="31.5" spans="1:11">
      <c r="A72" s="331"/>
      <c r="B72" s="265" t="s">
        <v>363</v>
      </c>
      <c r="C72" s="266">
        <v>8</v>
      </c>
      <c r="D72" s="267">
        <f>COUNT('113'!D5)</f>
        <v>1</v>
      </c>
      <c r="E72" s="267"/>
      <c r="F72" s="267">
        <f t="shared" si="18"/>
        <v>0</v>
      </c>
      <c r="G72" s="268">
        <f t="shared" si="19"/>
        <v>0</v>
      </c>
      <c r="H72" s="186"/>
      <c r="I72" s="329"/>
      <c r="K72" s="186"/>
    </row>
    <row r="73" ht="27.75" customHeight="1" spans="1:11">
      <c r="E73" s="337" t="s">
        <v>335</v>
      </c>
      <c r="F73" s="338">
        <f>SUM(F70:F72)</f>
        <v>0</v>
      </c>
      <c r="G73" s="339">
        <f>SUM(G70:G72)</f>
        <v>0</v>
      </c>
    </row>
    <row r="74" ht="5.1" customHeight="1"/>
    <row r="75" s="324" customFormat="1" ht="33.75" customHeight="1" spans="1:11">
      <c r="A75" s="325" t="s">
        <v>139</v>
      </c>
      <c r="B75" s="326"/>
      <c r="C75" s="326"/>
      <c r="D75" s="326"/>
      <c r="E75" s="326"/>
      <c r="F75" s="326"/>
      <c r="G75" s="327"/>
    </row>
    <row r="76" s="184" customFormat="1" ht="24.95" customHeight="1" spans="1:11">
      <c r="A76" s="258" t="s">
        <v>321</v>
      </c>
      <c r="B76" s="259"/>
      <c r="C76" s="259"/>
      <c r="D76" s="259"/>
      <c r="E76" s="259"/>
      <c r="F76" s="259"/>
      <c r="G76" s="259"/>
    </row>
    <row r="77" spans="1:11">
      <c r="A77" s="260" t="s">
        <v>322</v>
      </c>
      <c r="B77" s="262" t="s">
        <v>323</v>
      </c>
      <c r="C77" s="261" t="s">
        <v>324</v>
      </c>
      <c r="D77" s="261" t="s">
        <v>325</v>
      </c>
      <c r="E77" s="261" t="s">
        <v>326</v>
      </c>
      <c r="F77" s="262" t="s">
        <v>327</v>
      </c>
      <c r="G77" s="262" t="s">
        <v>328</v>
      </c>
      <c r="H77" s="186"/>
      <c r="K77" s="186"/>
    </row>
    <row r="78" ht="48.75" customHeight="1" spans="1:11">
      <c r="A78" s="328" t="s">
        <v>329</v>
      </c>
      <c r="B78" s="265" t="s">
        <v>364</v>
      </c>
      <c r="C78" s="266">
        <v>8.3</v>
      </c>
      <c r="D78" s="267">
        <f>COUNT('114'!#REF!,'114'!#REF!,'114'!#REF!,'114'!#REF!,'114'!#REF!,'114'!#REF!,'114'!#REF!,'114'!#REF!,'114'!#REF!,'114'!#REF!)</f>
        <v>0</v>
      </c>
      <c r="E78" s="267"/>
      <c r="F78" s="267">
        <f>D78*E78</f>
        <v>0</v>
      </c>
      <c r="G78" s="268">
        <f>C78*D78*E78</f>
        <v>0</v>
      </c>
      <c r="H78" s="186"/>
      <c r="I78" s="329"/>
      <c r="K78" s="186"/>
    </row>
    <row r="79" ht="48" customHeight="1" spans="1:11">
      <c r="A79" s="330"/>
      <c r="B79" s="265" t="s">
        <v>365</v>
      </c>
      <c r="C79" s="266">
        <v>7.1</v>
      </c>
      <c r="D79" s="267">
        <f>COUNT('114'!#REF!,'114'!#REF!,'114'!#REF!,'114'!#REF!,'114'!#REF!,'114'!#REF!,'114'!#REF!,'114'!#REF!,'114'!#REF!,'114'!#REF!,'114'!#REF!,'114'!#REF!,'114'!#REF!,'114'!#REF!)</f>
        <v>0</v>
      </c>
      <c r="E79" s="267"/>
      <c r="F79" s="267">
        <f t="shared" ref="F79:F85" si="20">D79*E79</f>
        <v>0</v>
      </c>
      <c r="G79" s="268">
        <f t="shared" ref="G79:G85" si="21">C79*D79*E79</f>
        <v>0</v>
      </c>
      <c r="H79" s="186"/>
      <c r="I79" s="329"/>
      <c r="K79" s="186"/>
    </row>
    <row r="80" ht="48" customHeight="1" spans="1:11">
      <c r="A80" s="330"/>
      <c r="B80" s="265" t="s">
        <v>366</v>
      </c>
      <c r="C80" s="266">
        <v>10.3</v>
      </c>
      <c r="D80" s="267">
        <f>COUNT('114'!#REF!,'114'!#REF!,'114'!#REF!,'114'!#REF!)</f>
        <v>0</v>
      </c>
      <c r="E80" s="267"/>
      <c r="F80" s="267">
        <f t="shared" ref="F80:F81" si="22">D80*E80</f>
        <v>0</v>
      </c>
      <c r="G80" s="268">
        <f t="shared" ref="G80:G81" si="23">C80*D80*E80</f>
        <v>0</v>
      </c>
      <c r="H80" s="186"/>
      <c r="I80" s="329"/>
      <c r="K80" s="186"/>
    </row>
    <row r="81" spans="1:11">
      <c r="A81" s="330"/>
      <c r="B81" s="265"/>
      <c r="C81" s="266"/>
      <c r="D81" s="267"/>
      <c r="E81" s="267"/>
      <c r="F81" s="267">
        <f t="shared" si="22"/>
        <v>0</v>
      </c>
      <c r="G81" s="268">
        <f t="shared" si="23"/>
        <v>0</v>
      </c>
      <c r="H81" s="186"/>
      <c r="I81" s="329"/>
      <c r="K81" s="186"/>
    </row>
    <row r="82" ht="31.5" spans="1:11">
      <c r="A82" s="330"/>
      <c r="B82" s="265" t="s">
        <v>367</v>
      </c>
      <c r="C82" s="266">
        <v>6.5</v>
      </c>
      <c r="D82" s="267">
        <f>COUNT('114'!#REF!,'114'!#REF!)</f>
        <v>0</v>
      </c>
      <c r="E82" s="267"/>
      <c r="F82" s="267">
        <f t="shared" si="20"/>
        <v>0</v>
      </c>
      <c r="G82" s="268">
        <f t="shared" si="21"/>
        <v>0</v>
      </c>
      <c r="H82" s="186"/>
      <c r="I82" s="329"/>
      <c r="K82" s="186"/>
    </row>
    <row r="83" spans="1:11">
      <c r="A83" s="330"/>
      <c r="B83" s="265" t="s">
        <v>368</v>
      </c>
      <c r="C83" s="266">
        <v>4.1</v>
      </c>
      <c r="D83" s="267">
        <f>COUNT('114'!#REF!,'114'!#REF!)</f>
        <v>0</v>
      </c>
      <c r="E83" s="267"/>
      <c r="F83" s="267">
        <f t="shared" si="20"/>
        <v>0</v>
      </c>
      <c r="G83" s="268">
        <f t="shared" si="21"/>
        <v>0</v>
      </c>
      <c r="H83" s="186"/>
      <c r="I83" s="329"/>
      <c r="K83" s="186"/>
    </row>
    <row r="84" ht="31.5" spans="1:11">
      <c r="A84" s="330"/>
      <c r="B84" s="265" t="s">
        <v>369</v>
      </c>
      <c r="C84" s="266">
        <v>3</v>
      </c>
      <c r="D84" s="267">
        <f>COUNT('114'!#REF!,'114'!#REF!)</f>
        <v>0</v>
      </c>
      <c r="E84" s="267"/>
      <c r="F84" s="267">
        <f t="shared" si="20"/>
        <v>0</v>
      </c>
      <c r="G84" s="268">
        <f t="shared" si="21"/>
        <v>0</v>
      </c>
      <c r="H84" s="186"/>
      <c r="I84" s="329"/>
      <c r="K84" s="186"/>
    </row>
    <row r="85" ht="31.5" spans="1:11">
      <c r="A85" s="331"/>
      <c r="B85" s="265" t="s">
        <v>370</v>
      </c>
      <c r="C85" s="266">
        <v>3</v>
      </c>
      <c r="D85" s="267">
        <f>COUNT('114'!#REF!,'114'!#REF!)</f>
        <v>0</v>
      </c>
      <c r="E85" s="267"/>
      <c r="F85" s="267">
        <f t="shared" si="20"/>
        <v>0</v>
      </c>
      <c r="G85" s="268">
        <f t="shared" si="21"/>
        <v>0</v>
      </c>
      <c r="H85" s="186"/>
      <c r="I85" s="329"/>
      <c r="K85" s="186"/>
    </row>
    <row r="86" customHeight="1" spans="1:11">
      <c r="E86" s="337" t="s">
        <v>335</v>
      </c>
      <c r="F86" s="338">
        <f>SUM(F78:F85)</f>
        <v>0</v>
      </c>
      <c r="G86" s="339">
        <f>SUM(G78:G85)</f>
        <v>0</v>
      </c>
    </row>
    <row r="87" ht="5.1" customHeight="1"/>
    <row r="88" s="324" customFormat="1" ht="33.75" customHeight="1" spans="1:11">
      <c r="A88" s="325" t="s">
        <v>371</v>
      </c>
      <c r="B88" s="326"/>
      <c r="C88" s="326"/>
      <c r="D88" s="326"/>
      <c r="E88" s="326"/>
      <c r="F88" s="326"/>
      <c r="G88" s="327"/>
    </row>
    <row r="89" s="184" customFormat="1" ht="24.95" customHeight="1" spans="1:11">
      <c r="A89" s="258" t="s">
        <v>321</v>
      </c>
      <c r="B89" s="259"/>
      <c r="C89" s="259"/>
      <c r="D89" s="259"/>
      <c r="E89" s="259"/>
      <c r="F89" s="259"/>
      <c r="G89" s="259"/>
    </row>
    <row r="90" spans="1:11">
      <c r="A90" s="260" t="s">
        <v>322</v>
      </c>
      <c r="B90" s="262" t="s">
        <v>323</v>
      </c>
      <c r="C90" s="261" t="s">
        <v>324</v>
      </c>
      <c r="D90" s="261" t="s">
        <v>325</v>
      </c>
      <c r="E90" s="261" t="s">
        <v>326</v>
      </c>
      <c r="F90" s="262" t="s">
        <v>327</v>
      </c>
      <c r="G90" s="262" t="s">
        <v>328</v>
      </c>
      <c r="H90" s="186"/>
      <c r="K90" s="186"/>
    </row>
    <row r="91" ht="48" customHeight="1" spans="1:11">
      <c r="A91" s="330"/>
      <c r="B91" s="265" t="s">
        <v>372</v>
      </c>
      <c r="C91" s="266">
        <v>15.7</v>
      </c>
      <c r="D91" s="267">
        <f>COUNT(#REF!,#REF!,#REF!)</f>
        <v>0</v>
      </c>
      <c r="E91" s="267"/>
      <c r="F91" s="267">
        <f t="shared" ref="F91:F96" si="24">D91*E91</f>
        <v>0</v>
      </c>
      <c r="G91" s="268">
        <f t="shared" ref="G91:G96" si="25">C91*D91*E91</f>
        <v>0</v>
      </c>
      <c r="H91" s="186"/>
      <c r="I91" s="329"/>
      <c r="K91" s="186"/>
    </row>
    <row r="92" ht="48" customHeight="1" spans="1:11">
      <c r="A92" s="330"/>
      <c r="B92" s="265" t="s">
        <v>373</v>
      </c>
      <c r="C92" s="266">
        <v>7.1</v>
      </c>
      <c r="D92" s="267">
        <f>COUNT(#REF!,#REF!)</f>
        <v>0</v>
      </c>
      <c r="E92" s="267"/>
      <c r="F92" s="267">
        <f t="shared" si="24"/>
        <v>0</v>
      </c>
      <c r="G92" s="268">
        <f t="shared" si="25"/>
        <v>0</v>
      </c>
      <c r="H92" s="186"/>
      <c r="I92" s="329"/>
      <c r="K92" s="186"/>
    </row>
    <row r="93" spans="1:11">
      <c r="A93" s="330"/>
      <c r="B93" s="265" t="s">
        <v>374</v>
      </c>
      <c r="C93" s="266">
        <v>4.1</v>
      </c>
      <c r="D93" s="267">
        <f>COUNT(#REF!)</f>
        <v>0</v>
      </c>
      <c r="E93" s="267"/>
      <c r="F93" s="267">
        <f t="shared" si="24"/>
        <v>0</v>
      </c>
      <c r="G93" s="268">
        <f t="shared" si="25"/>
        <v>0</v>
      </c>
      <c r="H93" s="186"/>
      <c r="I93" s="329"/>
      <c r="K93" s="186"/>
    </row>
    <row r="94" ht="63" spans="1:11">
      <c r="A94" s="330"/>
      <c r="B94" s="265" t="s">
        <v>375</v>
      </c>
      <c r="C94" s="266">
        <v>15.4</v>
      </c>
      <c r="D94" s="267">
        <f>COUNT(#REF!,#REF!,#REF!)</f>
        <v>0</v>
      </c>
      <c r="E94" s="267"/>
      <c r="F94" s="267">
        <f t="shared" si="24"/>
        <v>0</v>
      </c>
      <c r="G94" s="268">
        <f t="shared" si="25"/>
        <v>0</v>
      </c>
      <c r="H94" s="186"/>
      <c r="I94" s="329"/>
      <c r="K94" s="186"/>
    </row>
    <row r="95" ht="31.5" spans="1:11">
      <c r="A95" s="330"/>
      <c r="B95" s="265" t="s">
        <v>376</v>
      </c>
      <c r="C95" s="266">
        <v>7.4</v>
      </c>
      <c r="D95" s="267">
        <f>COUNT(#REF!,#REF!)</f>
        <v>0</v>
      </c>
      <c r="E95" s="267"/>
      <c r="F95" s="267">
        <f t="shared" si="24"/>
        <v>0</v>
      </c>
      <c r="G95" s="268">
        <f t="shared" si="25"/>
        <v>0</v>
      </c>
      <c r="H95" s="186"/>
      <c r="I95" s="329"/>
      <c r="K95" s="186"/>
    </row>
    <row r="96" spans="1:11">
      <c r="A96" s="331"/>
      <c r="B96" s="265" t="s">
        <v>360</v>
      </c>
      <c r="C96" s="266">
        <v>3.7</v>
      </c>
      <c r="D96" s="267">
        <f>COUNT(#REF!)</f>
        <v>0</v>
      </c>
      <c r="E96" s="267"/>
      <c r="F96" s="267">
        <f t="shared" si="24"/>
        <v>0</v>
      </c>
      <c r="G96" s="268">
        <f t="shared" si="25"/>
        <v>0</v>
      </c>
      <c r="H96" s="186"/>
      <c r="I96" s="329"/>
      <c r="K96" s="186"/>
    </row>
    <row r="97" ht="21" customHeight="1" spans="1:11">
      <c r="E97" s="337" t="s">
        <v>335</v>
      </c>
      <c r="F97" s="338">
        <f>SUM(F91:F96)</f>
        <v>0</v>
      </c>
      <c r="G97" s="339">
        <f>SUM(G91:G96)</f>
        <v>0</v>
      </c>
    </row>
    <row r="98" ht="5.1" customHeight="1"/>
    <row r="99" s="324" customFormat="1" ht="33.75" customHeight="1" spans="1:11">
      <c r="A99" s="325" t="s">
        <v>172</v>
      </c>
      <c r="B99" s="326"/>
      <c r="C99" s="326"/>
      <c r="D99" s="326"/>
      <c r="E99" s="326"/>
      <c r="F99" s="326"/>
      <c r="G99" s="327"/>
    </row>
    <row r="100" s="184" customFormat="1" ht="24.95" customHeight="1" spans="1:11">
      <c r="A100" s="258" t="s">
        <v>321</v>
      </c>
      <c r="B100" s="259"/>
      <c r="C100" s="259"/>
      <c r="D100" s="259"/>
      <c r="E100" s="259"/>
      <c r="F100" s="259"/>
      <c r="G100" s="259"/>
    </row>
    <row r="101" spans="1:11">
      <c r="A101" s="260" t="s">
        <v>322</v>
      </c>
      <c r="B101" s="262" t="s">
        <v>323</v>
      </c>
      <c r="C101" s="261" t="s">
        <v>324</v>
      </c>
      <c r="D101" s="261" t="s">
        <v>325</v>
      </c>
      <c r="E101" s="261" t="s">
        <v>326</v>
      </c>
      <c r="F101" s="262" t="s">
        <v>327</v>
      </c>
      <c r="G101" s="262" t="s">
        <v>328</v>
      </c>
      <c r="H101" s="186"/>
      <c r="K101" s="186"/>
    </row>
    <row r="102" ht="69.75" customHeight="1" spans="1:11">
      <c r="A102" s="328" t="s">
        <v>329</v>
      </c>
      <c r="B102" s="265" t="s">
        <v>377</v>
      </c>
      <c r="C102" s="266">
        <v>5.8</v>
      </c>
      <c r="D102" s="267">
        <f>COUNT('119'!#REF!,'119'!#REF!,'119'!#REF!,'119'!#REF!,'119'!#REF!,'119'!#REF!,'119'!#REF!,'119'!#REF!,'119'!#REF!,'119'!#REF!,'119'!#REF!,'119'!#REF!,'119'!#REF!)</f>
        <v>0</v>
      </c>
      <c r="E102" s="267"/>
      <c r="F102" s="267">
        <f>D102*E102</f>
        <v>0</v>
      </c>
      <c r="G102" s="268">
        <f>C102*D102*E102</f>
        <v>0</v>
      </c>
      <c r="H102" s="186"/>
      <c r="I102" s="329"/>
      <c r="K102" s="186"/>
    </row>
    <row r="103" ht="48" customHeight="1" spans="1:11">
      <c r="A103" s="330"/>
      <c r="B103" s="265" t="s">
        <v>378</v>
      </c>
      <c r="C103" s="266">
        <v>8.3</v>
      </c>
      <c r="D103" s="267">
        <f>COUNT('119'!#REF!,'119'!#REF!,'119'!#REF!,'119'!#REF!,'119'!#REF!,'119'!#REF!,'119'!#REF!,'119'!#REF!,'119'!#REF!,'119'!#REF!,'119'!#REF!,'119'!#REF!,'119'!#REF!,'119'!#REF!)</f>
        <v>0</v>
      </c>
      <c r="E103" s="267"/>
      <c r="F103" s="267">
        <f t="shared" ref="F103:F106" si="26">D103*E103</f>
        <v>0</v>
      </c>
      <c r="G103" s="268">
        <f t="shared" ref="G103:G106" si="27">C103*D103*E103</f>
        <v>0</v>
      </c>
      <c r="H103" s="186"/>
      <c r="I103" s="329"/>
      <c r="K103" s="186"/>
    </row>
    <row r="104" ht="48" customHeight="1" spans="1:11">
      <c r="A104" s="330"/>
      <c r="B104" s="265" t="s">
        <v>379</v>
      </c>
      <c r="C104" s="266">
        <v>9.2</v>
      </c>
      <c r="D104" s="267">
        <f>COUNT('119'!#REF!)</f>
        <v>0</v>
      </c>
      <c r="E104" s="267"/>
      <c r="F104" s="267">
        <f t="shared" si="26"/>
        <v>0</v>
      </c>
      <c r="G104" s="268">
        <f t="shared" si="27"/>
        <v>0</v>
      </c>
      <c r="H104" s="186"/>
      <c r="I104" s="329"/>
      <c r="K104" s="186"/>
    </row>
    <row r="105" ht="31.5" spans="1:11">
      <c r="A105" s="330"/>
      <c r="B105" s="265" t="s">
        <v>380</v>
      </c>
      <c r="C105" s="266">
        <v>6.4</v>
      </c>
      <c r="D105" s="267">
        <f>COUNT('119'!#REF!)</f>
        <v>0</v>
      </c>
      <c r="E105" s="267"/>
      <c r="F105" s="267">
        <f t="shared" si="26"/>
        <v>0</v>
      </c>
      <c r="G105" s="268">
        <f t="shared" si="27"/>
        <v>0</v>
      </c>
      <c r="H105" s="186"/>
      <c r="I105" s="329"/>
      <c r="K105" s="186"/>
    </row>
    <row r="106" ht="31.5" spans="1:11">
      <c r="A106" s="331"/>
      <c r="B106" s="265" t="s">
        <v>378</v>
      </c>
      <c r="C106" s="266">
        <v>7.2</v>
      </c>
      <c r="D106" s="267">
        <f>COUNT('119'!#REF!)</f>
        <v>0</v>
      </c>
      <c r="E106" s="267"/>
      <c r="F106" s="267">
        <f t="shared" si="26"/>
        <v>0</v>
      </c>
      <c r="G106" s="268">
        <f t="shared" si="27"/>
        <v>0</v>
      </c>
      <c r="H106" s="186"/>
      <c r="I106" s="329"/>
      <c r="K106" s="186"/>
    </row>
    <row r="107" ht="21" customHeight="1" spans="1:11">
      <c r="E107" s="337" t="s">
        <v>335</v>
      </c>
      <c r="F107" s="338">
        <f>SUM(F102:F106)</f>
        <v>0</v>
      </c>
      <c r="G107" s="339">
        <f>SUM(G102:G106)</f>
        <v>0</v>
      </c>
    </row>
  </sheetData>
  <mergeCells count="32">
    <mergeCell ref="A1:G1"/>
    <mergeCell ref="A2:G2"/>
    <mergeCell ref="A12:G12"/>
    <mergeCell ref="A13:G13"/>
    <mergeCell ref="A25:G25"/>
    <mergeCell ref="A26:G26"/>
    <mergeCell ref="A34:G34"/>
    <mergeCell ref="A35:G35"/>
    <mergeCell ref="A48:G48"/>
    <mergeCell ref="A49:G49"/>
    <mergeCell ref="A56:G56"/>
    <mergeCell ref="A57:G57"/>
    <mergeCell ref="A67:G67"/>
    <mergeCell ref="A68:G68"/>
    <mergeCell ref="A75:G75"/>
    <mergeCell ref="A76:G76"/>
    <mergeCell ref="A88:G88"/>
    <mergeCell ref="A89:G89"/>
    <mergeCell ref="A99:G99"/>
    <mergeCell ref="A100:G100"/>
    <mergeCell ref="A4:A9"/>
    <mergeCell ref="A15:A22"/>
    <mergeCell ref="A28:A31"/>
    <mergeCell ref="A37:A45"/>
    <mergeCell ref="A51:A53"/>
    <mergeCell ref="A59:A64"/>
    <mergeCell ref="A70:A72"/>
    <mergeCell ref="A78:A85"/>
    <mergeCell ref="A91:A96"/>
    <mergeCell ref="A102:A106"/>
    <mergeCell ref="B37:B41"/>
    <mergeCell ref="B42:B45"/>
  </mergeCells>
  <pageMargins left="1.18110236220472" right="0.748031496062992" top="0.196850393700787" bottom="0.196850393700787" header="0.511811023622047" footer="0.511811023622047"/>
  <pageSetup paperSize="9" scale="28" orientation="portrait" horizontalDpi="300" verticalDpi="300"/>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49"/>
  <sheetViews>
    <sheetView showGridLines="0" topLeftCell="A30" workbookViewId="0">
      <selection activeCell="E38" sqref="E38:E43"/>
    </sheetView>
  </sheetViews>
  <sheetFormatPr defaultColWidth="9.14285714285714" defaultRowHeight="15.75"/>
  <cols>
    <col min="1" max="3" width="30.7142857142857" style="186" customWidth="1"/>
    <col min="4" max="6" width="30.7142857142857" style="185" customWidth="1"/>
    <col min="7" max="7" width="35.7142857142857" style="186" customWidth="1"/>
    <col min="8" max="8" width="17.7142857142857" style="186" customWidth="1"/>
    <col min="9" max="9" width="15.7142857142857" style="185" customWidth="1"/>
    <col min="10" max="10" width="15.7142857142857" style="186" customWidth="1"/>
    <col min="11" max="16384" width="9.14285714285714" style="186"/>
  </cols>
  <sheetData>
    <row r="1" ht="29.85" customHeight="1" spans="1:6">
      <c r="A1" s="188" t="s">
        <v>222</v>
      </c>
      <c r="B1" s="189"/>
      <c r="C1" s="189"/>
      <c r="D1" s="190"/>
      <c r="E1" s="191"/>
      <c r="F1" s="191"/>
    </row>
    <row r="2" ht="41.25" customHeight="1" spans="1:6">
      <c r="A2" s="204" t="s">
        <v>225</v>
      </c>
      <c r="B2" s="205"/>
      <c r="C2" s="205"/>
      <c r="D2" s="206"/>
      <c r="E2" s="207"/>
      <c r="F2" s="207"/>
    </row>
    <row r="3" ht="25.5" customHeight="1" spans="1:6">
      <c r="A3" s="192" t="s">
        <v>381</v>
      </c>
      <c r="B3" s="193"/>
      <c r="C3" s="193"/>
      <c r="D3" s="194"/>
      <c r="E3" s="195"/>
      <c r="F3" s="195"/>
    </row>
    <row r="4" ht="31.7" customHeight="1" spans="1:6">
      <c r="A4" s="208" t="s">
        <v>226</v>
      </c>
      <c r="B4" s="209"/>
      <c r="C4" s="208" t="s">
        <v>202</v>
      </c>
      <c r="D4" s="209"/>
      <c r="E4" s="181"/>
      <c r="F4" s="181"/>
    </row>
    <row r="5" spans="1:6">
      <c r="A5" s="288">
        <v>0.270833333333333</v>
      </c>
      <c r="B5" s="289"/>
      <c r="C5" s="289">
        <v>0.284722222222222</v>
      </c>
      <c r="D5" s="290"/>
      <c r="E5" s="187"/>
      <c r="F5" s="187"/>
    </row>
    <row r="6" ht="16.5" spans="1:6">
      <c r="A6" s="238">
        <v>0.298611111111111</v>
      </c>
      <c r="B6" s="239"/>
      <c r="C6" s="239">
        <v>0.315972222222222</v>
      </c>
      <c r="D6" s="240"/>
      <c r="E6" s="187"/>
      <c r="F6" s="187"/>
    </row>
    <row r="7" ht="4" customHeight="1" spans="1:6">
      <c r="A7" s="291"/>
      <c r="B7" s="291"/>
      <c r="C7" s="291"/>
      <c r="D7" s="291"/>
      <c r="E7" s="187"/>
      <c r="F7" s="187"/>
    </row>
    <row r="8" ht="21" spans="1:6">
      <c r="A8" s="188" t="s">
        <v>222</v>
      </c>
      <c r="B8" s="189"/>
      <c r="C8" s="189"/>
      <c r="D8" s="190"/>
      <c r="E8" s="187"/>
      <c r="F8" s="187"/>
    </row>
    <row r="9" ht="16.5" spans="1:6">
      <c r="A9" s="204" t="s">
        <v>231</v>
      </c>
      <c r="B9" s="205"/>
      <c r="C9" s="205"/>
      <c r="D9" s="206"/>
      <c r="E9" s="187"/>
      <c r="F9" s="187"/>
    </row>
    <row r="10" ht="21" spans="1:6">
      <c r="A10" s="192" t="s">
        <v>381</v>
      </c>
      <c r="B10" s="193"/>
      <c r="C10" s="193"/>
      <c r="D10" s="194"/>
      <c r="E10" s="187"/>
      <c r="F10" s="187"/>
    </row>
    <row r="11" ht="16.5" spans="1:6">
      <c r="A11" s="208" t="s">
        <v>232</v>
      </c>
      <c r="B11" s="209"/>
      <c r="C11" s="208" t="s">
        <v>233</v>
      </c>
      <c r="D11" s="209"/>
      <c r="E11" s="187"/>
      <c r="F11" s="187"/>
    </row>
    <row r="12" spans="1:6">
      <c r="A12" s="292">
        <v>0.708333333333333</v>
      </c>
      <c r="B12" s="293"/>
      <c r="C12" s="292">
        <v>0.722222222222222</v>
      </c>
      <c r="D12" s="293"/>
      <c r="E12" s="187"/>
      <c r="F12" s="187"/>
    </row>
    <row r="13" ht="16.5" spans="1:6">
      <c r="A13" s="230">
        <v>0.739583333333333</v>
      </c>
      <c r="B13" s="233"/>
      <c r="C13" s="230">
        <v>0.753472222222222</v>
      </c>
      <c r="D13" s="233"/>
      <c r="E13" s="187"/>
      <c r="F13" s="187"/>
    </row>
    <row r="14" ht="5.1" customHeight="1" spans="1:6">
      <c r="A14" s="187"/>
      <c r="B14" s="187"/>
      <c r="C14" s="187"/>
      <c r="D14" s="187"/>
      <c r="E14" s="187"/>
      <c r="F14" s="187"/>
    </row>
    <row r="15" ht="29.85" customHeight="1" spans="1:6">
      <c r="A15" s="188" t="s">
        <v>222</v>
      </c>
      <c r="B15" s="189"/>
      <c r="C15" s="189"/>
      <c r="D15" s="190"/>
      <c r="E15" s="191"/>
      <c r="F15" s="191"/>
    </row>
    <row r="16" ht="76.5" customHeight="1" spans="1:6">
      <c r="A16" s="204" t="s">
        <v>382</v>
      </c>
      <c r="B16" s="205"/>
      <c r="C16" s="205"/>
      <c r="D16" s="206"/>
      <c r="E16" s="207"/>
      <c r="F16" s="207"/>
    </row>
    <row r="17" ht="25.5" customHeight="1" spans="1:8">
      <c r="A17" s="192" t="s">
        <v>381</v>
      </c>
      <c r="B17" s="193"/>
      <c r="C17" s="193"/>
      <c r="D17" s="194"/>
      <c r="E17" s="195"/>
      <c r="F17" s="195"/>
    </row>
    <row r="18" ht="31.7" customHeight="1" spans="1:8">
      <c r="A18" s="201" t="s">
        <v>202</v>
      </c>
      <c r="B18" s="201" t="s">
        <v>383</v>
      </c>
      <c r="C18" s="201" t="s">
        <v>3</v>
      </c>
      <c r="D18" s="201" t="s">
        <v>204</v>
      </c>
      <c r="E18" s="181"/>
      <c r="F18" s="181"/>
    </row>
    <row r="19" spans="1:8">
      <c r="A19" s="202">
        <v>0.739583333333333</v>
      </c>
      <c r="B19" s="202">
        <v>0.753472222222222</v>
      </c>
      <c r="C19" s="202">
        <v>0.774305555555555</v>
      </c>
      <c r="D19" s="202">
        <v>0.788194444444445</v>
      </c>
      <c r="E19" s="187"/>
      <c r="F19" s="187"/>
    </row>
    <row r="20" ht="16.5" spans="1:8">
      <c r="A20" s="203"/>
      <c r="B20" s="203"/>
      <c r="C20" s="203"/>
      <c r="D20" s="203"/>
      <c r="E20" s="187"/>
      <c r="F20" s="187"/>
    </row>
    <row r="21" ht="5.1" customHeight="1" spans="1:8">
      <c r="A21" s="187"/>
      <c r="B21" s="187"/>
      <c r="C21" s="187"/>
      <c r="D21" s="187"/>
      <c r="E21" s="187"/>
      <c r="F21" s="187"/>
    </row>
    <row r="22" ht="29.85" customHeight="1" spans="1:8">
      <c r="A22" s="188" t="s">
        <v>222</v>
      </c>
      <c r="B22" s="189"/>
      <c r="C22" s="189"/>
      <c r="D22" s="190"/>
      <c r="E22" s="191"/>
      <c r="F22" s="191"/>
    </row>
    <row r="23" ht="93.75" customHeight="1" spans="1:8">
      <c r="A23" s="204" t="s">
        <v>384</v>
      </c>
      <c r="B23" s="205"/>
      <c r="C23" s="205"/>
      <c r="D23" s="206"/>
      <c r="E23" s="207"/>
      <c r="F23" s="207"/>
    </row>
    <row r="24" ht="25.5" customHeight="1" spans="1:8">
      <c r="A24" s="192" t="s">
        <v>381</v>
      </c>
      <c r="B24" s="193"/>
      <c r="C24" s="193"/>
      <c r="D24" s="194"/>
      <c r="E24" s="195"/>
      <c r="F24" s="195"/>
    </row>
    <row r="25" ht="42" customHeight="1" spans="1:8">
      <c r="A25" s="201" t="s">
        <v>202</v>
      </c>
      <c r="B25" s="201" t="s">
        <v>385</v>
      </c>
      <c r="C25" s="201" t="s">
        <v>130</v>
      </c>
      <c r="D25" s="201" t="s">
        <v>131</v>
      </c>
      <c r="E25" s="181"/>
      <c r="F25" s="181"/>
    </row>
    <row r="26" spans="1:8">
      <c r="A26" s="202">
        <v>0.708333333333333</v>
      </c>
      <c r="B26" s="202">
        <v>0.722222222222222</v>
      </c>
      <c r="C26" s="202">
        <v>0.729166666666667</v>
      </c>
      <c r="D26" s="202">
        <v>0.743055555555555</v>
      </c>
      <c r="E26" s="187"/>
      <c r="F26" s="187"/>
    </row>
    <row r="27" ht="16.5" spans="1:8">
      <c r="A27" s="203"/>
      <c r="B27" s="203"/>
      <c r="C27" s="203"/>
      <c r="D27" s="203"/>
      <c r="E27" s="187"/>
      <c r="F27" s="187"/>
    </row>
    <row r="28" ht="16.5" spans="1:8">
      <c r="A28" s="187"/>
      <c r="B28" s="187"/>
      <c r="C28" s="187"/>
      <c r="D28" s="187"/>
      <c r="E28" s="187"/>
      <c r="F28" s="187"/>
    </row>
    <row r="29" s="286" customFormat="1" ht="30" customHeight="1" spans="1:8">
      <c r="A29" s="188" t="s">
        <v>222</v>
      </c>
      <c r="B29" s="189"/>
      <c r="C29" s="189"/>
      <c r="D29" s="190"/>
    </row>
    <row r="30" s="286" customFormat="1" ht="69.75" customHeight="1" spans="1:8">
      <c r="A30" s="294" t="s">
        <v>386</v>
      </c>
      <c r="B30" s="295"/>
      <c r="C30" s="295"/>
      <c r="D30" s="296"/>
    </row>
    <row r="31" s="286" customFormat="1" ht="51" customHeight="1" spans="1:8">
      <c r="A31" s="218" t="s">
        <v>202</v>
      </c>
      <c r="B31" s="218" t="s">
        <v>7</v>
      </c>
      <c r="C31" s="218" t="s">
        <v>28</v>
      </c>
      <c r="D31" s="218" t="s">
        <v>387</v>
      </c>
    </row>
    <row r="32" s="286" customFormat="1" ht="16.5" spans="1:8">
      <c r="A32" s="297">
        <v>0.708333333333333</v>
      </c>
      <c r="B32" s="297">
        <v>0.722222222222222</v>
      </c>
      <c r="C32" s="297">
        <v>0.736111111111111</v>
      </c>
      <c r="D32" s="297">
        <v>0.75</v>
      </c>
      <c r="E32" s="298"/>
      <c r="F32" s="298"/>
      <c r="G32" s="298"/>
      <c r="H32" s="298"/>
    </row>
    <row r="33" s="286" customFormat="1" ht="17.25" spans="1:10">
      <c r="A33" s="299">
        <v>0.739583333333333</v>
      </c>
      <c r="B33" s="299">
        <v>0.753472222222222</v>
      </c>
      <c r="C33" s="299">
        <v>0.767361111111111</v>
      </c>
      <c r="D33" s="299">
        <v>0.78125</v>
      </c>
      <c r="E33" s="298"/>
      <c r="F33" s="298"/>
      <c r="G33" s="298"/>
      <c r="H33" s="298"/>
    </row>
    <row r="34" spans="1:10">
      <c r="A34" s="187"/>
      <c r="B34" s="187"/>
      <c r="C34" s="187"/>
      <c r="D34" s="187"/>
      <c r="E34" s="187"/>
      <c r="F34" s="187"/>
    </row>
    <row r="35" s="182" customFormat="1" ht="4.5" customHeight="1" spans="1:10">
      <c r="C35" s="212"/>
      <c r="D35" s="213"/>
      <c r="E35" s="213"/>
      <c r="F35" s="213"/>
      <c r="G35" s="212"/>
      <c r="H35" s="212"/>
      <c r="I35" s="213"/>
      <c r="J35" s="212"/>
    </row>
    <row r="36" s="184" customFormat="1" ht="24.95" customHeight="1" spans="1:10">
      <c r="A36" s="258" t="s">
        <v>321</v>
      </c>
      <c r="B36" s="259"/>
      <c r="C36" s="259"/>
      <c r="D36" s="259"/>
      <c r="E36" s="259"/>
      <c r="F36" s="259"/>
      <c r="G36" s="259"/>
    </row>
    <row r="37" spans="1:10">
      <c r="A37" s="260" t="s">
        <v>322</v>
      </c>
      <c r="B37" s="260" t="s">
        <v>323</v>
      </c>
      <c r="C37" s="261" t="s">
        <v>324</v>
      </c>
      <c r="D37" s="262" t="s">
        <v>325</v>
      </c>
      <c r="E37" s="262" t="s">
        <v>326</v>
      </c>
      <c r="F37" s="262" t="s">
        <v>327</v>
      </c>
      <c r="G37" s="262" t="s">
        <v>328</v>
      </c>
      <c r="I37" s="263"/>
    </row>
    <row r="38" ht="44.25" customHeight="1" spans="1:10">
      <c r="A38" s="264" t="s">
        <v>381</v>
      </c>
      <c r="B38" s="265" t="s">
        <v>388</v>
      </c>
      <c r="C38" s="266">
        <v>7.9</v>
      </c>
      <c r="D38" s="267">
        <f>COUNT(C5,C6)</f>
        <v>2</v>
      </c>
      <c r="E38" s="267"/>
      <c r="F38" s="267">
        <f t="shared" ref="F38:F43" si="0">D38*E38</f>
        <v>0</v>
      </c>
      <c r="G38" s="268">
        <f t="shared" ref="G38:G43" si="1">C38*D38*E38</f>
        <v>0</v>
      </c>
      <c r="H38" s="300" t="s">
        <v>389</v>
      </c>
      <c r="I38" s="263"/>
    </row>
    <row r="39" ht="44.25" customHeight="1" spans="1:10">
      <c r="A39" s="264"/>
      <c r="B39" s="265" t="s">
        <v>390</v>
      </c>
      <c r="C39" s="266">
        <v>15.4</v>
      </c>
      <c r="D39" s="267">
        <f>COUNT(C19)</f>
        <v>1</v>
      </c>
      <c r="E39" s="267"/>
      <c r="F39" s="267">
        <f t="shared" si="0"/>
        <v>0</v>
      </c>
      <c r="G39" s="268">
        <f t="shared" si="1"/>
        <v>0</v>
      </c>
      <c r="H39" s="300" t="s">
        <v>389</v>
      </c>
      <c r="I39" s="263"/>
    </row>
    <row r="40" ht="44.25" customHeight="1" spans="1:10">
      <c r="A40" s="264"/>
      <c r="B40" s="301" t="s">
        <v>391</v>
      </c>
      <c r="C40" s="266">
        <v>5.8</v>
      </c>
      <c r="D40" s="267">
        <f>COUNT(D19)</f>
        <v>1</v>
      </c>
      <c r="E40" s="267"/>
      <c r="F40" s="267">
        <f t="shared" si="0"/>
        <v>0</v>
      </c>
      <c r="G40" s="268">
        <f t="shared" si="1"/>
        <v>0</v>
      </c>
      <c r="H40" s="300" t="s">
        <v>389</v>
      </c>
      <c r="I40" s="263"/>
    </row>
    <row r="41" s="287" customFormat="1" ht="54" customHeight="1" spans="1:10">
      <c r="A41" s="302"/>
      <c r="B41" s="265" t="s">
        <v>392</v>
      </c>
      <c r="C41" s="266">
        <v>8</v>
      </c>
      <c r="D41" s="303">
        <f>COUNT(C12,C13)</f>
        <v>2</v>
      </c>
      <c r="E41" s="303"/>
      <c r="F41" s="267">
        <f t="shared" si="0"/>
        <v>0</v>
      </c>
      <c r="G41" s="268">
        <f t="shared" si="1"/>
        <v>0</v>
      </c>
      <c r="H41" s="304"/>
      <c r="I41" s="305"/>
    </row>
    <row r="42" ht="54" customHeight="1" spans="1:10">
      <c r="A42" s="264"/>
      <c r="B42" s="306" t="s">
        <v>393</v>
      </c>
      <c r="C42" s="307">
        <v>13.2</v>
      </c>
      <c r="D42" s="308">
        <f>COUNT(D32,D33)</f>
        <v>2</v>
      </c>
      <c r="E42" s="308"/>
      <c r="F42" s="308">
        <f t="shared" si="0"/>
        <v>0</v>
      </c>
      <c r="G42" s="309">
        <f t="shared" si="1"/>
        <v>0</v>
      </c>
      <c r="H42" s="300" t="s">
        <v>389</v>
      </c>
      <c r="I42" s="263"/>
    </row>
    <row r="43" ht="44.25" customHeight="1" spans="1:10">
      <c r="A43" s="264"/>
      <c r="B43" s="265" t="s">
        <v>394</v>
      </c>
      <c r="C43" s="266">
        <v>18.4</v>
      </c>
      <c r="D43" s="267">
        <f>COUNT(D26)</f>
        <v>1</v>
      </c>
      <c r="E43" s="267"/>
      <c r="F43" s="267">
        <f t="shared" si="0"/>
        <v>0</v>
      </c>
      <c r="G43" s="310">
        <f t="shared" si="1"/>
        <v>0</v>
      </c>
      <c r="H43" s="300" t="s">
        <v>20</v>
      </c>
      <c r="I43" s="263"/>
    </row>
    <row r="44" ht="7.5" customHeight="1" spans="1:10">
      <c r="A44" s="269"/>
      <c r="B44" s="270"/>
      <c r="C44" s="271"/>
      <c r="D44" s="272"/>
      <c r="E44" s="272"/>
      <c r="F44" s="272"/>
      <c r="G44" s="272"/>
      <c r="I44" s="186"/>
    </row>
    <row r="45" ht="24.95" customHeight="1" spans="1:10">
      <c r="A45" s="311" t="s">
        <v>395</v>
      </c>
      <c r="B45" s="312"/>
      <c r="C45" s="312"/>
      <c r="D45" s="312"/>
      <c r="E45" s="313"/>
      <c r="F45" s="250"/>
      <c r="G45" s="314"/>
    </row>
    <row r="46" ht="24.95" customHeight="1" spans="1:10">
      <c r="A46" s="315" t="s">
        <v>322</v>
      </c>
      <c r="B46" s="277"/>
      <c r="C46" s="277" t="s">
        <v>396</v>
      </c>
      <c r="D46" s="277" t="s">
        <v>397</v>
      </c>
      <c r="E46" s="316" t="s">
        <v>398</v>
      </c>
      <c r="F46" s="317"/>
    </row>
    <row r="47" ht="20.1" customHeight="1" spans="1:10">
      <c r="A47" s="318" t="s">
        <v>329</v>
      </c>
      <c r="B47" s="319"/>
      <c r="C47" s="320">
        <f>SUM(F38:F43)</f>
        <v>0</v>
      </c>
      <c r="D47" s="321">
        <f>SUM(G38:G43)</f>
        <v>0</v>
      </c>
      <c r="E47" s="322">
        <f>SUM((C5-A5)+(C6-A6)+(D19-A19)+(D26-A26))</f>
        <v>0.114583333333334</v>
      </c>
      <c r="F47" s="323"/>
    </row>
    <row r="49" spans="3:3">
      <c r="C49" s="285"/>
    </row>
  </sheetData>
  <mergeCells count="31">
    <mergeCell ref="A1:D1"/>
    <mergeCell ref="A2:D2"/>
    <mergeCell ref="A3:D3"/>
    <mergeCell ref="A4:B4"/>
    <mergeCell ref="C4:D4"/>
    <mergeCell ref="A5:B5"/>
    <mergeCell ref="C5:D5"/>
    <mergeCell ref="A6:B6"/>
    <mergeCell ref="C6:D6"/>
    <mergeCell ref="A8:D8"/>
    <mergeCell ref="A9:D9"/>
    <mergeCell ref="A10:D10"/>
    <mergeCell ref="A11:B11"/>
    <mergeCell ref="C11:D11"/>
    <mergeCell ref="A12:B12"/>
    <mergeCell ref="C12:D12"/>
    <mergeCell ref="A13:B13"/>
    <mergeCell ref="C13:D13"/>
    <mergeCell ref="A15:D15"/>
    <mergeCell ref="A16:D16"/>
    <mergeCell ref="A17:D17"/>
    <mergeCell ref="A22:D22"/>
    <mergeCell ref="A23:D23"/>
    <mergeCell ref="A24:D24"/>
    <mergeCell ref="A29:D29"/>
    <mergeCell ref="A30:D30"/>
    <mergeCell ref="A36:G36"/>
    <mergeCell ref="A45:E45"/>
    <mergeCell ref="A46:B46"/>
    <mergeCell ref="A47:B47"/>
    <mergeCell ref="A38:A43"/>
  </mergeCells>
  <pageMargins left="1.18110236220472" right="0.748031496062992" top="0.196850393700787" bottom="0.196850393700787" header="0.511811023622047" footer="0.511811023622047"/>
  <pageSetup paperSize="9" scale="74" orientation="portrait" horizontalDpi="300" verticalDpi="300"/>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J62"/>
  <sheetViews>
    <sheetView topLeftCell="A40" workbookViewId="0">
      <selection activeCell="I57" sqref="I57"/>
    </sheetView>
  </sheetViews>
  <sheetFormatPr defaultColWidth="9.14285714285714" defaultRowHeight="15.75"/>
  <cols>
    <col min="1" max="3" width="30.7142857142857" style="186" customWidth="1"/>
    <col min="4" max="6" width="30.7142857142857" style="185" customWidth="1"/>
    <col min="7" max="7" width="35.7142857142857" style="186" customWidth="1"/>
    <col min="8" max="8" width="17.7142857142857" style="186" customWidth="1"/>
    <col min="9" max="9" width="15.7142857142857" style="185" customWidth="1"/>
    <col min="10" max="10" width="15.7142857142857" style="186" customWidth="1"/>
    <col min="11" max="16384" width="9.14285714285714" style="186"/>
  </cols>
  <sheetData>
    <row r="1" ht="16.5" spans="1:10">
      <c r="A1" s="187"/>
      <c r="B1" s="187"/>
      <c r="C1" s="187"/>
      <c r="D1" s="187"/>
      <c r="E1" s="187"/>
      <c r="F1" s="187"/>
    </row>
    <row r="2" ht="36" customHeight="1" spans="1:10">
      <c r="A2" s="188" t="s">
        <v>307</v>
      </c>
      <c r="B2" s="189"/>
      <c r="C2" s="189"/>
      <c r="D2" s="190"/>
      <c r="E2" s="191"/>
      <c r="F2" s="191"/>
    </row>
    <row r="3" ht="31.5" customHeight="1" spans="1:10">
      <c r="A3" s="192" t="s">
        <v>399</v>
      </c>
      <c r="B3" s="193"/>
      <c r="C3" s="193"/>
      <c r="D3" s="194"/>
      <c r="E3" s="195"/>
      <c r="F3" s="195"/>
    </row>
    <row r="4" s="181" customFormat="1" ht="92.25" customHeight="1" spans="1:10">
      <c r="A4" s="196" t="s">
        <v>400</v>
      </c>
      <c r="B4" s="197"/>
      <c r="C4" s="197"/>
      <c r="D4" s="198"/>
      <c r="E4" s="199"/>
      <c r="F4" s="199"/>
      <c r="G4" s="200"/>
      <c r="H4" s="200"/>
    </row>
    <row r="5" ht="32.25" spans="1:10">
      <c r="A5" s="201" t="s">
        <v>401</v>
      </c>
      <c r="B5" s="201" t="s">
        <v>3</v>
      </c>
      <c r="C5" s="201" t="s">
        <v>245</v>
      </c>
      <c r="D5" s="201" t="s">
        <v>241</v>
      </c>
      <c r="E5" s="181"/>
      <c r="F5" s="181"/>
    </row>
    <row r="6" spans="1:10">
      <c r="A6" s="202">
        <v>0.270833333333333</v>
      </c>
      <c r="B6" s="202">
        <v>0.284722222222222</v>
      </c>
      <c r="C6" s="202">
        <v>0.298611111111111</v>
      </c>
      <c r="D6" s="202">
        <v>0.3125</v>
      </c>
      <c r="E6" s="187"/>
      <c r="F6" s="187"/>
    </row>
    <row r="7" ht="16.5" spans="1:10">
      <c r="A7" s="203">
        <v>0.326388888888889</v>
      </c>
      <c r="B7" s="203" t="s">
        <v>8</v>
      </c>
      <c r="C7" s="203" t="s">
        <v>8</v>
      </c>
      <c r="D7" s="203" t="s">
        <v>8</v>
      </c>
      <c r="E7" s="187"/>
      <c r="F7" s="187"/>
    </row>
    <row r="8" ht="5.1" customHeight="1" spans="1:10">
      <c r="A8" s="187"/>
      <c r="B8" s="187"/>
      <c r="C8" s="187"/>
      <c r="D8" s="187"/>
      <c r="E8" s="187"/>
      <c r="F8" s="187"/>
    </row>
    <row r="9" ht="66" customHeight="1" spans="1:10">
      <c r="A9" s="204" t="s">
        <v>402</v>
      </c>
      <c r="B9" s="205"/>
      <c r="C9" s="205"/>
      <c r="D9" s="206"/>
      <c r="E9" s="207"/>
      <c r="F9" s="207"/>
    </row>
    <row r="10" ht="16.5" spans="1:10">
      <c r="A10" s="208" t="s">
        <v>257</v>
      </c>
      <c r="B10" s="209"/>
      <c r="C10" s="208" t="s">
        <v>258</v>
      </c>
      <c r="D10" s="209"/>
      <c r="E10" s="181"/>
      <c r="F10" s="181"/>
    </row>
    <row r="11" ht="16.5" spans="1:10">
      <c r="A11" s="210">
        <v>0.284722222222222</v>
      </c>
      <c r="B11" s="211"/>
      <c r="C11" s="210">
        <v>0.298611111111111</v>
      </c>
      <c r="D11" s="211"/>
      <c r="E11" s="187"/>
      <c r="F11" s="187"/>
    </row>
    <row r="12" s="182" customFormat="1" ht="5.1" customHeight="1" spans="1:10">
      <c r="C12" s="212"/>
      <c r="D12" s="213"/>
      <c r="E12" s="213"/>
      <c r="F12" s="213"/>
      <c r="G12" s="212"/>
      <c r="H12" s="212"/>
      <c r="I12" s="213"/>
      <c r="J12" s="212"/>
    </row>
    <row r="13" ht="109.5" customHeight="1" spans="1:10">
      <c r="A13" s="204" t="s">
        <v>403</v>
      </c>
      <c r="B13" s="205"/>
      <c r="C13" s="205"/>
      <c r="D13" s="206"/>
      <c r="E13" s="207"/>
      <c r="F13" s="207"/>
    </row>
    <row r="14" ht="32.25" spans="1:10">
      <c r="A14" s="201" t="s">
        <v>404</v>
      </c>
      <c r="B14" s="201" t="s">
        <v>267</v>
      </c>
      <c r="C14" s="208" t="s">
        <v>241</v>
      </c>
      <c r="D14" s="201" t="s">
        <v>268</v>
      </c>
      <c r="E14" s="181"/>
      <c r="F14" s="181"/>
    </row>
    <row r="15" ht="16.5" spans="1:10">
      <c r="A15" s="214">
        <v>0.270833333333333</v>
      </c>
      <c r="B15" s="214">
        <v>0.277777777777778</v>
      </c>
      <c r="C15" s="210">
        <v>0.3125</v>
      </c>
      <c r="D15" s="214">
        <v>0.326388888888889</v>
      </c>
      <c r="E15" s="187"/>
      <c r="F15" s="187"/>
    </row>
    <row r="16" s="182" customFormat="1" ht="5.1" customHeight="1" spans="1:10">
      <c r="C16" s="212"/>
      <c r="D16" s="213"/>
      <c r="E16" s="213"/>
      <c r="F16" s="213"/>
      <c r="G16" s="212"/>
      <c r="H16" s="212"/>
      <c r="I16" s="213"/>
      <c r="J16" s="212"/>
    </row>
    <row r="17" ht="66.75" customHeight="1" spans="1:10">
      <c r="A17" s="215" t="s">
        <v>405</v>
      </c>
      <c r="B17" s="216"/>
      <c r="C17" s="216"/>
      <c r="D17" s="217"/>
      <c r="E17" s="199"/>
      <c r="F17" s="199"/>
    </row>
    <row r="18" ht="32.25" spans="1:10">
      <c r="A18" s="218" t="s">
        <v>170</v>
      </c>
      <c r="B18" s="218" t="s">
        <v>275</v>
      </c>
      <c r="C18" s="218" t="s">
        <v>241</v>
      </c>
      <c r="D18" s="218" t="s">
        <v>244</v>
      </c>
      <c r="E18" s="181"/>
      <c r="F18" s="181"/>
    </row>
    <row r="19" ht="16.5" spans="1:10">
      <c r="A19" s="219">
        <v>0.28125</v>
      </c>
      <c r="B19" s="220">
        <v>0.298611111111111</v>
      </c>
      <c r="C19" s="220">
        <v>0.3125</v>
      </c>
      <c r="D19" s="221">
        <v>0.326388888888889</v>
      </c>
      <c r="E19" s="187"/>
      <c r="F19" s="187"/>
    </row>
    <row r="20" s="182" customFormat="1" ht="5.1" customHeight="1" spans="1:10">
      <c r="C20" s="212"/>
      <c r="D20" s="213"/>
      <c r="E20" s="213"/>
      <c r="F20" s="213"/>
      <c r="G20" s="212"/>
      <c r="H20" s="212"/>
      <c r="I20" s="213"/>
      <c r="J20" s="212"/>
    </row>
    <row r="21" ht="78" customHeight="1" spans="1:10">
      <c r="A21" s="222" t="s">
        <v>406</v>
      </c>
      <c r="B21" s="223"/>
      <c r="C21" s="223"/>
      <c r="D21" s="224"/>
      <c r="E21" s="225"/>
      <c r="F21" s="225"/>
      <c r="G21" s="200"/>
    </row>
    <row r="22" spans="1:10">
      <c r="A22" s="226" t="s">
        <v>286</v>
      </c>
      <c r="B22" s="227"/>
      <c r="C22" s="228" t="s">
        <v>285</v>
      </c>
      <c r="D22" s="229"/>
      <c r="E22" s="181"/>
      <c r="F22" s="181"/>
      <c r="G22" s="200"/>
    </row>
    <row r="23" ht="16.5" spans="1:10">
      <c r="A23" s="230">
        <v>0.270833333333333</v>
      </c>
      <c r="B23" s="231"/>
      <c r="C23" s="232">
        <v>0.298611111111111</v>
      </c>
      <c r="D23" s="233"/>
      <c r="E23" s="187"/>
      <c r="F23" s="187"/>
      <c r="G23" s="234"/>
    </row>
    <row r="24" s="182" customFormat="1" ht="5.1" customHeight="1" spans="1:10">
      <c r="C24" s="212"/>
      <c r="D24" s="213"/>
      <c r="E24" s="213"/>
      <c r="F24" s="213"/>
      <c r="G24" s="212"/>
      <c r="H24" s="212"/>
      <c r="I24" s="213"/>
      <c r="J24" s="212"/>
    </row>
    <row r="25" ht="123.75" customHeight="1" spans="1:10">
      <c r="A25" s="222" t="s">
        <v>407</v>
      </c>
      <c r="B25" s="223"/>
      <c r="C25" s="223"/>
      <c r="D25" s="224"/>
      <c r="E25" s="225"/>
      <c r="F25" s="225"/>
      <c r="G25" s="200"/>
    </row>
    <row r="26" ht="16.5" spans="1:10">
      <c r="A26" s="235" t="s">
        <v>299</v>
      </c>
      <c r="B26" s="236" t="s">
        <v>90</v>
      </c>
      <c r="C26" s="236" t="s">
        <v>300</v>
      </c>
      <c r="D26" s="237" t="s">
        <v>241</v>
      </c>
      <c r="E26" s="181"/>
      <c r="F26" s="181"/>
    </row>
    <row r="27" ht="16.5" spans="1:10">
      <c r="A27" s="219">
        <v>0.270833333333333</v>
      </c>
      <c r="B27" s="220">
        <v>0.277777777777778</v>
      </c>
      <c r="C27" s="220">
        <v>0.298611111111111</v>
      </c>
      <c r="D27" s="221">
        <v>0.3125</v>
      </c>
      <c r="E27" s="187"/>
      <c r="F27" s="187"/>
    </row>
    <row r="28" s="182" customFormat="1" ht="5.1" customHeight="1" spans="1:10">
      <c r="C28" s="212"/>
      <c r="D28" s="213"/>
      <c r="E28" s="213"/>
      <c r="F28" s="213"/>
      <c r="G28" s="212"/>
      <c r="H28" s="212"/>
      <c r="I28" s="213"/>
      <c r="J28" s="212"/>
    </row>
    <row r="29" s="181" customFormat="1" ht="94.5" customHeight="1" spans="1:10">
      <c r="A29" s="215" t="s">
        <v>408</v>
      </c>
      <c r="B29" s="216"/>
      <c r="C29" s="216"/>
      <c r="D29" s="217"/>
      <c r="E29" s="199"/>
      <c r="F29" s="199"/>
      <c r="G29" s="200"/>
      <c r="H29" s="200"/>
    </row>
    <row r="30" s="183" customFormat="1" ht="32.25" spans="1:10">
      <c r="A30" s="201" t="s">
        <v>241</v>
      </c>
      <c r="B30" s="201" t="s">
        <v>242</v>
      </c>
      <c r="C30" s="201" t="s">
        <v>3</v>
      </c>
      <c r="D30" s="201" t="s">
        <v>247</v>
      </c>
      <c r="E30" s="181"/>
      <c r="F30" s="181"/>
    </row>
    <row r="31" s="183" customFormat="1" ht="17.25" spans="1:10">
      <c r="A31" s="238">
        <v>0.732638888888889</v>
      </c>
      <c r="B31" s="239">
        <v>0.746527777777778</v>
      </c>
      <c r="C31" s="239">
        <v>0.767361111111111</v>
      </c>
      <c r="D31" s="240">
        <v>0.78125</v>
      </c>
      <c r="E31" s="187"/>
      <c r="F31" s="187"/>
      <c r="H31" s="234"/>
      <c r="I31" s="241"/>
    </row>
    <row r="32" s="182" customFormat="1" ht="5.1" customHeight="1" spans="1:10">
      <c r="C32" s="212"/>
      <c r="D32" s="213"/>
      <c r="E32" s="213"/>
      <c r="F32" s="213"/>
      <c r="G32" s="212"/>
      <c r="H32" s="212"/>
      <c r="I32" s="213"/>
      <c r="J32" s="212"/>
    </row>
    <row r="33" ht="87" customHeight="1" spans="1:10">
      <c r="A33" s="242" t="s">
        <v>409</v>
      </c>
      <c r="B33" s="243"/>
      <c r="C33" s="243"/>
      <c r="D33" s="244"/>
      <c r="E33" s="207"/>
      <c r="F33" s="207"/>
    </row>
    <row r="34" s="182" customFormat="1" ht="18.75" spans="1:10">
      <c r="A34" s="208" t="s">
        <v>241</v>
      </c>
      <c r="B34" s="209"/>
      <c r="C34" s="208" t="s">
        <v>265</v>
      </c>
      <c r="D34" s="209"/>
      <c r="E34" s="181"/>
      <c r="F34" s="181"/>
      <c r="G34" s="212"/>
      <c r="H34" s="212"/>
      <c r="I34" s="213"/>
      <c r="J34" s="212"/>
    </row>
    <row r="35" s="182" customFormat="1" ht="18.75" spans="1:10">
      <c r="A35" s="245">
        <v>0.732638888888889</v>
      </c>
      <c r="B35" s="246"/>
      <c r="C35" s="247">
        <v>0.767361111111111</v>
      </c>
      <c r="D35" s="248"/>
      <c r="E35" s="249"/>
      <c r="F35" s="249"/>
      <c r="G35" s="212"/>
      <c r="H35" s="212"/>
      <c r="I35" s="213"/>
      <c r="J35" s="212"/>
    </row>
    <row r="36" s="182" customFormat="1" ht="5.1" customHeight="1" spans="1:10">
      <c r="A36" s="186"/>
      <c r="B36" s="186"/>
      <c r="C36" s="250"/>
      <c r="D36" s="251"/>
      <c r="E36" s="251"/>
      <c r="F36" s="251"/>
      <c r="G36" s="212"/>
      <c r="H36" s="212"/>
      <c r="I36" s="213"/>
      <c r="J36" s="212"/>
    </row>
    <row r="37" ht="37.5" customHeight="1" spans="1:10">
      <c r="A37" s="252" t="s">
        <v>320</v>
      </c>
      <c r="B37" s="253"/>
      <c r="C37" s="253"/>
      <c r="D37" s="254"/>
      <c r="E37" s="255"/>
      <c r="F37" s="255"/>
    </row>
    <row r="38" ht="16.5" spans="1:10">
      <c r="A38" s="208" t="s">
        <v>241</v>
      </c>
      <c r="B38" s="209"/>
      <c r="C38" s="256" t="s">
        <v>275</v>
      </c>
      <c r="D38" s="257"/>
      <c r="E38" s="181"/>
      <c r="F38" s="181"/>
    </row>
    <row r="39" ht="16.5" spans="1:10">
      <c r="A39" s="238">
        <v>0.732638888888889</v>
      </c>
      <c r="B39" s="239"/>
      <c r="C39" s="239">
        <v>0.746527777777778</v>
      </c>
      <c r="D39" s="240"/>
      <c r="E39" s="187"/>
      <c r="F39" s="187"/>
    </row>
    <row r="40" s="182" customFormat="1" ht="5.1" customHeight="1" spans="1:10">
      <c r="C40" s="212"/>
      <c r="D40" s="213"/>
      <c r="E40" s="213"/>
      <c r="F40" s="213"/>
      <c r="G40" s="212"/>
      <c r="H40" s="212"/>
      <c r="I40" s="213"/>
      <c r="J40" s="212"/>
    </row>
    <row r="41" s="184" customFormat="1" ht="17.25" spans="1:10">
      <c r="A41" s="258" t="s">
        <v>321</v>
      </c>
      <c r="B41" s="259"/>
      <c r="C41" s="259"/>
      <c r="D41" s="259"/>
      <c r="E41" s="259"/>
      <c r="F41" s="259"/>
      <c r="G41" s="259"/>
    </row>
    <row r="42" spans="1:10">
      <c r="A42" s="260" t="s">
        <v>322</v>
      </c>
      <c r="B42" s="260" t="s">
        <v>323</v>
      </c>
      <c r="C42" s="261" t="s">
        <v>324</v>
      </c>
      <c r="D42" s="262" t="s">
        <v>396</v>
      </c>
      <c r="E42" s="262" t="s">
        <v>326</v>
      </c>
      <c r="F42" s="262" t="s">
        <v>327</v>
      </c>
      <c r="G42" s="262" t="s">
        <v>328</v>
      </c>
      <c r="I42" s="263"/>
    </row>
    <row r="43" spans="1:10">
      <c r="A43" s="264" t="s">
        <v>399</v>
      </c>
      <c r="B43" s="265" t="s">
        <v>347</v>
      </c>
      <c r="C43" s="266">
        <v>5.6</v>
      </c>
      <c r="D43" s="267">
        <f>COUNT(B6)</f>
        <v>1</v>
      </c>
      <c r="E43" s="267"/>
      <c r="F43" s="267">
        <f>D43*E43</f>
        <v>0</v>
      </c>
      <c r="G43" s="268">
        <f>C43*D43*E43</f>
        <v>0</v>
      </c>
      <c r="I43" s="263"/>
    </row>
    <row r="44" ht="31.5" spans="1:10">
      <c r="A44" s="264"/>
      <c r="B44" s="265" t="s">
        <v>410</v>
      </c>
      <c r="C44" s="266">
        <v>22.5</v>
      </c>
      <c r="D44" s="267">
        <f>COUNT(D6)</f>
        <v>1</v>
      </c>
      <c r="E44" s="267"/>
      <c r="F44" s="267">
        <f t="shared" ref="F44:F56" si="0">D44*E44</f>
        <v>0</v>
      </c>
      <c r="G44" s="268">
        <f>C44*D44*E44</f>
        <v>0</v>
      </c>
      <c r="I44" s="263"/>
    </row>
    <row r="45" spans="1:10">
      <c r="A45" s="264"/>
      <c r="B45" s="265" t="s">
        <v>411</v>
      </c>
      <c r="C45" s="266">
        <v>12.4</v>
      </c>
      <c r="D45" s="267">
        <f>COUNT(A7,D15,D19)</f>
        <v>3</v>
      </c>
      <c r="E45" s="267"/>
      <c r="F45" s="267">
        <f t="shared" si="0"/>
        <v>0</v>
      </c>
      <c r="G45" s="268">
        <f t="shared" ref="G45:G56" si="1">C45*D45*E45</f>
        <v>0</v>
      </c>
      <c r="I45" s="263"/>
    </row>
    <row r="46" ht="31.5" spans="1:10">
      <c r="A46" s="264"/>
      <c r="B46" s="265" t="s">
        <v>412</v>
      </c>
      <c r="C46" s="266">
        <v>6.1</v>
      </c>
      <c r="D46" s="267">
        <f>COUNT(C11)</f>
        <v>1</v>
      </c>
      <c r="E46" s="267"/>
      <c r="F46" s="267">
        <f t="shared" si="0"/>
        <v>0</v>
      </c>
      <c r="G46" s="268">
        <f t="shared" si="1"/>
        <v>0</v>
      </c>
      <c r="I46" s="263"/>
    </row>
    <row r="47" ht="47.25" spans="1:10">
      <c r="A47" s="264"/>
      <c r="B47" s="265" t="s">
        <v>413</v>
      </c>
      <c r="C47" s="266">
        <v>21.23</v>
      </c>
      <c r="D47" s="267">
        <f>COUNT(C15)</f>
        <v>1</v>
      </c>
      <c r="E47" s="267"/>
      <c r="F47" s="267">
        <f t="shared" si="0"/>
        <v>0</v>
      </c>
      <c r="G47" s="268">
        <f t="shared" si="1"/>
        <v>0</v>
      </c>
      <c r="I47" s="263"/>
    </row>
    <row r="48" spans="1:10">
      <c r="A48" s="264"/>
      <c r="B48" s="265" t="s">
        <v>414</v>
      </c>
      <c r="C48" s="266">
        <v>2.8</v>
      </c>
      <c r="D48" s="267">
        <f>COUNT(B15)</f>
        <v>1</v>
      </c>
      <c r="E48" s="267"/>
      <c r="F48" s="267">
        <f t="shared" si="0"/>
        <v>0</v>
      </c>
      <c r="G48" s="268">
        <f t="shared" si="1"/>
        <v>0</v>
      </c>
      <c r="I48" s="263"/>
    </row>
    <row r="49" spans="1:10">
      <c r="A49" s="264"/>
      <c r="B49" s="265" t="s">
        <v>415</v>
      </c>
      <c r="C49" s="266">
        <v>18.3</v>
      </c>
      <c r="D49" s="267">
        <f>COUNT(C19)</f>
        <v>1</v>
      </c>
      <c r="E49" s="267"/>
      <c r="F49" s="267">
        <f t="shared" si="0"/>
        <v>0</v>
      </c>
      <c r="G49" s="268">
        <f t="shared" si="1"/>
        <v>0</v>
      </c>
      <c r="I49" s="263"/>
    </row>
    <row r="50" ht="31.5" spans="1:10">
      <c r="A50" s="264"/>
      <c r="B50" s="265" t="s">
        <v>416</v>
      </c>
      <c r="C50" s="266">
        <v>11.6</v>
      </c>
      <c r="D50" s="267">
        <f>COUNT(C23)</f>
        <v>1</v>
      </c>
      <c r="E50" s="267"/>
      <c r="F50" s="267">
        <f t="shared" si="0"/>
        <v>0</v>
      </c>
      <c r="G50" s="268">
        <f t="shared" si="1"/>
        <v>0</v>
      </c>
      <c r="I50" s="263"/>
    </row>
    <row r="51" ht="31.5" spans="1:10">
      <c r="A51" s="264"/>
      <c r="B51" s="265" t="s">
        <v>417</v>
      </c>
      <c r="C51" s="266">
        <v>21.4</v>
      </c>
      <c r="D51" s="267">
        <f>COUNT(D27)</f>
        <v>1</v>
      </c>
      <c r="E51" s="267"/>
      <c r="F51" s="267">
        <f t="shared" si="0"/>
        <v>0</v>
      </c>
      <c r="G51" s="268">
        <f t="shared" si="1"/>
        <v>0</v>
      </c>
      <c r="I51" s="263"/>
    </row>
    <row r="52" spans="1:10">
      <c r="A52" s="264"/>
      <c r="B52" s="265" t="s">
        <v>418</v>
      </c>
      <c r="C52" s="266">
        <v>4.7</v>
      </c>
      <c r="D52" s="267">
        <f>COUNT(B27)</f>
        <v>1</v>
      </c>
      <c r="E52" s="267"/>
      <c r="F52" s="267">
        <f t="shared" si="0"/>
        <v>0</v>
      </c>
      <c r="G52" s="268">
        <f t="shared" si="1"/>
        <v>0</v>
      </c>
      <c r="I52" s="263"/>
    </row>
    <row r="53" ht="47.25" spans="1:10">
      <c r="A53" s="264"/>
      <c r="B53" s="265" t="s">
        <v>419</v>
      </c>
      <c r="C53" s="266">
        <v>21.1</v>
      </c>
      <c r="D53" s="267">
        <f>COUNT(C31)</f>
        <v>1</v>
      </c>
      <c r="E53" s="267"/>
      <c r="F53" s="267">
        <f t="shared" si="0"/>
        <v>0</v>
      </c>
      <c r="G53" s="268">
        <f t="shared" si="1"/>
        <v>0</v>
      </c>
      <c r="I53" s="263"/>
    </row>
    <row r="54" spans="1:10">
      <c r="A54" s="264"/>
      <c r="B54" s="265" t="s">
        <v>391</v>
      </c>
      <c r="C54" s="266">
        <v>5.8</v>
      </c>
      <c r="D54" s="267">
        <f>COUNT(D31)</f>
        <v>1</v>
      </c>
      <c r="E54" s="267"/>
      <c r="F54" s="267">
        <f t="shared" si="0"/>
        <v>0</v>
      </c>
      <c r="G54" s="268">
        <f t="shared" si="1"/>
        <v>0</v>
      </c>
      <c r="I54" s="263"/>
    </row>
    <row r="55" ht="63" spans="1:10">
      <c r="A55" s="264"/>
      <c r="B55" s="265" t="s">
        <v>420</v>
      </c>
      <c r="C55" s="266">
        <v>25.1</v>
      </c>
      <c r="D55" s="267">
        <f>COUNT(C35)</f>
        <v>1</v>
      </c>
      <c r="E55" s="267"/>
      <c r="F55" s="267">
        <f t="shared" si="0"/>
        <v>0</v>
      </c>
      <c r="G55" s="268">
        <f t="shared" si="1"/>
        <v>0</v>
      </c>
      <c r="I55" s="263"/>
    </row>
    <row r="56" spans="1:10">
      <c r="A56" s="264"/>
      <c r="B56" s="265" t="s">
        <v>411</v>
      </c>
      <c r="C56" s="266">
        <v>12.4</v>
      </c>
      <c r="D56" s="267">
        <f>COUNT(C39)</f>
        <v>1</v>
      </c>
      <c r="E56" s="267"/>
      <c r="F56" s="267">
        <f t="shared" si="0"/>
        <v>0</v>
      </c>
      <c r="G56" s="268">
        <f t="shared" si="1"/>
        <v>0</v>
      </c>
      <c r="I56" s="263"/>
    </row>
    <row r="57" ht="16.5" spans="1:10">
      <c r="A57" s="269"/>
      <c r="B57" s="270"/>
      <c r="C57" s="271"/>
      <c r="D57" s="272"/>
      <c r="E57" s="272"/>
      <c r="F57" s="272"/>
      <c r="G57" s="272"/>
      <c r="I57" s="186"/>
    </row>
    <row r="58" ht="32.25" spans="1:10">
      <c r="A58" s="273" t="s">
        <v>395</v>
      </c>
      <c r="B58" s="274"/>
      <c r="C58" s="274"/>
      <c r="D58" s="274"/>
      <c r="E58" s="274"/>
      <c r="F58" s="275"/>
      <c r="G58" s="276" t="s">
        <v>421</v>
      </c>
    </row>
    <row r="59" spans="1:10">
      <c r="A59" s="277" t="s">
        <v>322</v>
      </c>
      <c r="B59" s="277"/>
      <c r="C59" s="277" t="s">
        <v>396</v>
      </c>
      <c r="D59" s="277" t="s">
        <v>397</v>
      </c>
      <c r="E59" s="278" t="s">
        <v>398</v>
      </c>
      <c r="F59" s="279"/>
    </row>
    <row r="60" ht="17.25" spans="1:10">
      <c r="A60" s="280" t="s">
        <v>329</v>
      </c>
      <c r="B60" s="280"/>
      <c r="C60" s="281">
        <f>SUM(F43:F56)</f>
        <v>0</v>
      </c>
      <c r="D60" s="282">
        <f>SUM(G43:G56)</f>
        <v>0</v>
      </c>
      <c r="E60" s="283">
        <f>SUM((A7-A6)+(C11-A11)+(D15-A15)+(D19-A19)+(C23-A23)+(D27-A27)+(D31-A31)+(C35-A35)+(C39-A39))</f>
        <v>0.336805555555557</v>
      </c>
      <c r="F60" s="284"/>
    </row>
    <row r="62" s="185" customFormat="1" spans="1:10">
      <c r="A62" s="186"/>
      <c r="B62" s="186"/>
      <c r="C62" s="285"/>
      <c r="G62" s="186"/>
      <c r="H62" s="186"/>
      <c r="J62" s="186"/>
    </row>
  </sheetData>
  <mergeCells count="32">
    <mergeCell ref="A2:D2"/>
    <mergeCell ref="A3:D3"/>
    <mergeCell ref="A4:D4"/>
    <mergeCell ref="A9:D9"/>
    <mergeCell ref="A10:B10"/>
    <mergeCell ref="C10:D10"/>
    <mergeCell ref="A11:B11"/>
    <mergeCell ref="C11:D11"/>
    <mergeCell ref="A13:D13"/>
    <mergeCell ref="A17:D17"/>
    <mergeCell ref="A21:D21"/>
    <mergeCell ref="A22:B22"/>
    <mergeCell ref="C22:D22"/>
    <mergeCell ref="A23:B23"/>
    <mergeCell ref="C23:D23"/>
    <mergeCell ref="A25:D25"/>
    <mergeCell ref="A29:D29"/>
    <mergeCell ref="A33:D33"/>
    <mergeCell ref="A34:B34"/>
    <mergeCell ref="C34:D34"/>
    <mergeCell ref="A35:B35"/>
    <mergeCell ref="C35:D35"/>
    <mergeCell ref="A37:D37"/>
    <mergeCell ref="A38:B38"/>
    <mergeCell ref="C38:D38"/>
    <mergeCell ref="A39:B39"/>
    <mergeCell ref="C39:D39"/>
    <mergeCell ref="A41:G41"/>
    <mergeCell ref="A58:E58"/>
    <mergeCell ref="A59:B59"/>
    <mergeCell ref="A60:B60"/>
    <mergeCell ref="A43:A56"/>
  </mergeCells>
  <pageMargins left="1.18110236220472" right="0.748031496062992" top="0.196850393700787" bottom="0.196850393700787" header="0.511811023622047" footer="0.511811023622047"/>
  <pageSetup paperSize="9" scale="33" orientation="portrait" horizontalDpi="300" verticalDpi="300"/>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53"/>
  <sheetViews>
    <sheetView zoomScale="80" zoomScaleNormal="80" topLeftCell="A31" workbookViewId="0">
      <pane xSplit="1" topLeftCell="B1" activePane="topRight" state="frozen"/>
      <selection/>
      <selection pane="topRight" activeCell="A5" sqref="A5"/>
    </sheetView>
  </sheetViews>
  <sheetFormatPr defaultColWidth="9.14285714285714" defaultRowHeight="15.75"/>
  <cols>
    <col min="1" max="1" width="50.7142857142857" style="5" customWidth="1"/>
    <col min="2" max="5" width="13.7142857142857" style="5" customWidth="1"/>
    <col min="6" max="15" width="14.7142857142857" style="5" customWidth="1"/>
    <col min="16" max="16" width="14.7142857142857" style="6" customWidth="1"/>
    <col min="17" max="18" width="14.7142857142857" style="5" customWidth="1"/>
    <col min="19" max="19" width="19.5714285714286" style="5" customWidth="1"/>
    <col min="20" max="20" width="9.42857142857143" style="5" customWidth="1"/>
    <col min="21" max="21" width="8" style="5" customWidth="1"/>
    <col min="22" max="22" width="8.42857142857143" style="5" customWidth="1"/>
    <col min="23" max="23" width="8.28571428571429" style="5" customWidth="1"/>
    <col min="24" max="24" width="7" style="5" customWidth="1"/>
    <col min="25" max="16384" width="9.14285714285714" style="5"/>
  </cols>
  <sheetData>
    <row r="1" ht="27.75" customHeight="1" spans="1:19">
      <c r="A1" s="7" t="s">
        <v>321</v>
      </c>
      <c r="B1" s="7"/>
      <c r="C1" s="7"/>
      <c r="D1" s="7"/>
      <c r="E1" s="7"/>
      <c r="F1" s="7"/>
      <c r="G1" s="7"/>
      <c r="H1" s="7"/>
      <c r="I1" s="7"/>
      <c r="J1" s="7"/>
      <c r="K1" s="7"/>
      <c r="L1" s="7"/>
      <c r="M1" s="7"/>
      <c r="N1" s="7"/>
      <c r="O1" s="7"/>
      <c r="P1" s="7"/>
      <c r="Q1" s="7"/>
      <c r="R1" s="7"/>
      <c r="S1" s="7"/>
    </row>
    <row r="2" ht="5.1" customHeight="1" spans="1:19">
      <c r="A2" s="7"/>
      <c r="B2" s="7"/>
      <c r="C2" s="7"/>
      <c r="D2" s="7"/>
      <c r="E2" s="7"/>
      <c r="F2" s="7"/>
      <c r="G2" s="7"/>
      <c r="H2" s="7"/>
      <c r="I2" s="7"/>
      <c r="J2" s="7"/>
      <c r="K2" s="7"/>
      <c r="L2" s="7"/>
      <c r="M2" s="7"/>
      <c r="N2" s="7"/>
      <c r="O2" s="7"/>
    </row>
    <row r="3" ht="27.75" customHeight="1" spans="1:19">
      <c r="F3" s="133" t="s">
        <v>422</v>
      </c>
      <c r="G3" s="133"/>
      <c r="H3" s="133"/>
      <c r="I3" s="133"/>
      <c r="J3" s="133"/>
      <c r="K3" s="133"/>
      <c r="L3" s="133"/>
      <c r="M3" s="133"/>
      <c r="N3" s="133"/>
      <c r="O3" s="133"/>
      <c r="P3" s="133"/>
      <c r="Q3" s="133"/>
      <c r="R3" s="133"/>
      <c r="S3" s="133"/>
    </row>
    <row r="4" ht="27.75" customHeight="1" spans="1:19">
      <c r="D4" s="134" t="s">
        <v>423</v>
      </c>
      <c r="E4" s="135"/>
      <c r="F4" s="136"/>
      <c r="G4" s="82" t="s">
        <v>424</v>
      </c>
      <c r="H4" s="82"/>
      <c r="I4" s="82"/>
      <c r="J4" s="82"/>
      <c r="K4" s="82"/>
      <c r="L4" s="82"/>
      <c r="M4" s="82"/>
      <c r="N4" s="82"/>
      <c r="O4" s="82"/>
      <c r="P4" s="82"/>
      <c r="Q4" s="82"/>
      <c r="R4" s="82"/>
      <c r="S4" s="82"/>
    </row>
    <row r="5" ht="36.75" customHeight="1" spans="1:19">
      <c r="D5" s="78" t="s">
        <v>425</v>
      </c>
      <c r="E5" s="78" t="s">
        <v>426</v>
      </c>
      <c r="F5" s="78" t="s">
        <v>427</v>
      </c>
      <c r="G5" s="82" t="s">
        <v>428</v>
      </c>
      <c r="H5" s="82"/>
      <c r="I5" s="82"/>
      <c r="J5" s="82"/>
      <c r="K5" s="82"/>
      <c r="L5" s="82"/>
      <c r="M5" s="82" t="s">
        <v>429</v>
      </c>
      <c r="N5" s="82"/>
      <c r="O5" s="82"/>
      <c r="P5" s="82"/>
      <c r="Q5" s="82"/>
      <c r="R5" s="82"/>
      <c r="S5" s="82"/>
    </row>
    <row r="6" ht="36.75" customHeight="1" spans="1:19">
      <c r="D6" s="81"/>
      <c r="E6" s="81"/>
      <c r="F6" s="81"/>
      <c r="G6" s="82" t="s">
        <v>425</v>
      </c>
      <c r="H6" s="82" t="s">
        <v>426</v>
      </c>
      <c r="I6" s="82" t="s">
        <v>427</v>
      </c>
      <c r="J6" s="82" t="s">
        <v>430</v>
      </c>
      <c r="K6" s="82" t="s">
        <v>431</v>
      </c>
      <c r="L6" s="82" t="s">
        <v>432</v>
      </c>
      <c r="M6" s="82" t="s">
        <v>425</v>
      </c>
      <c r="N6" s="82" t="s">
        <v>426</v>
      </c>
      <c r="O6" s="82" t="s">
        <v>427</v>
      </c>
      <c r="P6" s="82" t="s">
        <v>430</v>
      </c>
      <c r="Q6" s="82" t="s">
        <v>433</v>
      </c>
      <c r="R6" s="137" t="s">
        <v>431</v>
      </c>
      <c r="S6" s="137" t="s">
        <v>432</v>
      </c>
    </row>
    <row r="7" s="132" customFormat="1" ht="27.75" customHeight="1" spans="1:19">
      <c r="D7" s="138">
        <v>5</v>
      </c>
      <c r="E7" s="138">
        <v>1</v>
      </c>
      <c r="F7" s="138"/>
      <c r="G7" s="138">
        <v>5</v>
      </c>
      <c r="H7" s="138"/>
      <c r="I7" s="138"/>
      <c r="J7" s="46"/>
      <c r="K7" s="138"/>
      <c r="L7" s="46"/>
      <c r="M7" s="46">
        <v>5</v>
      </c>
      <c r="N7" s="138"/>
      <c r="O7" s="138"/>
      <c r="P7" s="138"/>
      <c r="Q7" s="138"/>
      <c r="R7" s="46"/>
      <c r="S7" s="46"/>
    </row>
    <row r="8" s="1" customFormat="1" ht="5.1" customHeight="1" spans="1:19">
      <c r="A8" s="8"/>
      <c r="B8" s="8"/>
      <c r="C8" s="8"/>
      <c r="D8" s="8"/>
      <c r="E8" s="8"/>
      <c r="F8" s="8"/>
      <c r="G8" s="8"/>
      <c r="H8" s="8"/>
      <c r="I8" s="8"/>
      <c r="J8" s="8"/>
      <c r="K8" s="8"/>
      <c r="L8" s="8"/>
      <c r="P8" s="9"/>
    </row>
    <row r="9" s="1" customFormat="1" ht="33" customHeight="1" spans="1:19">
      <c r="A9" s="139" t="s">
        <v>423</v>
      </c>
      <c r="B9" s="140"/>
      <c r="C9" s="140"/>
      <c r="D9" s="140"/>
      <c r="E9" s="140"/>
      <c r="F9" s="140"/>
      <c r="G9" s="140"/>
      <c r="H9" s="140"/>
      <c r="I9" s="140"/>
      <c r="J9" s="140"/>
      <c r="K9" s="140"/>
      <c r="L9" s="140"/>
      <c r="M9" s="140"/>
      <c r="N9" s="140"/>
      <c r="O9" s="140"/>
      <c r="P9" s="140"/>
      <c r="Q9" s="140"/>
      <c r="R9" s="140"/>
      <c r="S9" s="140"/>
    </row>
    <row r="10" s="2" customFormat="1" ht="31.5" customHeight="1" spans="1:19">
      <c r="A10" s="141" t="s">
        <v>434</v>
      </c>
      <c r="B10" s="13" t="s">
        <v>435</v>
      </c>
      <c r="C10" s="14"/>
      <c r="D10" s="14"/>
      <c r="E10" s="15"/>
      <c r="F10" s="13" t="s">
        <v>436</v>
      </c>
      <c r="G10" s="14"/>
      <c r="H10" s="14"/>
      <c r="I10" s="15"/>
      <c r="J10" s="142" t="s">
        <v>437</v>
      </c>
      <c r="K10" s="13" t="s">
        <v>438</v>
      </c>
      <c r="L10" s="14"/>
      <c r="M10" s="14"/>
      <c r="N10" s="15"/>
      <c r="O10" s="143" t="s">
        <v>439</v>
      </c>
      <c r="P10" s="144"/>
      <c r="Q10" s="144"/>
      <c r="R10" s="145"/>
      <c r="S10" s="78" t="s">
        <v>440</v>
      </c>
    </row>
    <row r="11" s="2" customFormat="1" ht="17.25" spans="1:19">
      <c r="A11" s="143"/>
      <c r="B11" s="12" t="s">
        <v>425</v>
      </c>
      <c r="C11" s="11" t="s">
        <v>441</v>
      </c>
      <c r="D11" s="11" t="s">
        <v>442</v>
      </c>
      <c r="E11" s="12" t="s">
        <v>443</v>
      </c>
      <c r="F11" s="11" t="s">
        <v>425</v>
      </c>
      <c r="G11" s="11" t="s">
        <v>441</v>
      </c>
      <c r="H11" s="11" t="s">
        <v>442</v>
      </c>
      <c r="I11" s="12" t="s">
        <v>443</v>
      </c>
      <c r="J11" s="94"/>
      <c r="K11" s="11" t="s">
        <v>425</v>
      </c>
      <c r="L11" s="11" t="s">
        <v>441</v>
      </c>
      <c r="M11" s="11" t="s">
        <v>442</v>
      </c>
      <c r="N11" s="12" t="s">
        <v>443</v>
      </c>
      <c r="O11" s="80" t="s">
        <v>425</v>
      </c>
      <c r="P11" s="81" t="s">
        <v>441</v>
      </c>
      <c r="Q11" s="82" t="s">
        <v>442</v>
      </c>
      <c r="R11" s="12" t="s">
        <v>443</v>
      </c>
      <c r="S11" s="81"/>
    </row>
    <row r="12" ht="20.1" customHeight="1" spans="1:19">
      <c r="A12" s="146" t="s">
        <v>444</v>
      </c>
      <c r="B12" s="99">
        <f>'101'!C97</f>
        <v>0</v>
      </c>
      <c r="C12" s="99">
        <f>'101'!C100</f>
        <v>0</v>
      </c>
      <c r="D12" s="99">
        <v>0</v>
      </c>
      <c r="E12" s="99">
        <f>'Trajetos Carater Especial '!$F$10</f>
        <v>0</v>
      </c>
      <c r="F12" s="147">
        <f t="shared" ref="F12:F28" si="0">B12*$D$7</f>
        <v>0</v>
      </c>
      <c r="G12" s="147">
        <f t="shared" ref="G12:G28" si="1">C12*$E$7</f>
        <v>0</v>
      </c>
      <c r="H12" s="147">
        <f t="shared" ref="H12:H28" si="2">D12*$F$7</f>
        <v>0</v>
      </c>
      <c r="I12" s="99">
        <f>E12</f>
        <v>0</v>
      </c>
      <c r="J12" s="148">
        <f>SUM(F12:I12)</f>
        <v>0</v>
      </c>
      <c r="K12" s="112">
        <f>'101'!D97</f>
        <v>0</v>
      </c>
      <c r="L12" s="112">
        <f>'101'!D100</f>
        <v>0</v>
      </c>
      <c r="M12" s="112">
        <v>0</v>
      </c>
      <c r="N12" s="112">
        <f>'Trajetos Carater Especial '!G10</f>
        <v>0</v>
      </c>
      <c r="O12" s="101">
        <f t="shared" ref="O12:O28" si="3">K12*$D$7</f>
        <v>0</v>
      </c>
      <c r="P12" s="101">
        <f t="shared" ref="P12:P28" si="4">L12*$E$7</f>
        <v>0</v>
      </c>
      <c r="Q12" s="149">
        <f t="shared" ref="Q12:Q28" si="5">M12*$F$7</f>
        <v>0</v>
      </c>
      <c r="R12" s="112">
        <f>N12</f>
        <v>0</v>
      </c>
      <c r="S12" s="100">
        <f>SUM(O12:R12)</f>
        <v>0</v>
      </c>
    </row>
    <row r="13" ht="20.1" customHeight="1" spans="1:19">
      <c r="A13" s="150" t="s">
        <v>445</v>
      </c>
      <c r="B13" s="17">
        <f>'102'!C104</f>
        <v>0</v>
      </c>
      <c r="C13" s="17">
        <f>'102'!C105</f>
        <v>0</v>
      </c>
      <c r="D13" s="17">
        <f>'102'!C106</f>
        <v>0</v>
      </c>
      <c r="E13" s="17">
        <f>'Trajetos Carater Especial '!$F$23</f>
        <v>0</v>
      </c>
      <c r="F13" s="151">
        <f t="shared" si="0"/>
        <v>0</v>
      </c>
      <c r="G13" s="151">
        <f t="shared" si="1"/>
        <v>0</v>
      </c>
      <c r="H13" s="151">
        <f t="shared" si="2"/>
        <v>0</v>
      </c>
      <c r="I13" s="17">
        <f t="shared" ref="I13:I28" si="6">E13</f>
        <v>0</v>
      </c>
      <c r="J13" s="152">
        <f t="shared" ref="J13:J28" si="7">SUM(F13:I13)</f>
        <v>0</v>
      </c>
      <c r="K13" s="109">
        <f>'102'!D104</f>
        <v>0</v>
      </c>
      <c r="L13" s="109">
        <f>'102'!D105</f>
        <v>0</v>
      </c>
      <c r="M13" s="109">
        <f>'102'!D106</f>
        <v>0</v>
      </c>
      <c r="N13" s="109">
        <f>'Trajetos Carater Especial '!$G$23</f>
        <v>0</v>
      </c>
      <c r="O13" s="96">
        <f t="shared" si="3"/>
        <v>0</v>
      </c>
      <c r="P13" s="96">
        <f t="shared" si="4"/>
        <v>0</v>
      </c>
      <c r="Q13" s="96">
        <f t="shared" si="5"/>
        <v>0</v>
      </c>
      <c r="R13" s="109">
        <f t="shared" ref="R13:R28" si="8">N13</f>
        <v>0</v>
      </c>
      <c r="S13" s="95">
        <f t="shared" ref="S13:S28" si="9">SUM(O13:R13)</f>
        <v>0</v>
      </c>
    </row>
    <row r="14" ht="20.1" customHeight="1" spans="1:19">
      <c r="A14" s="146" t="s">
        <v>446</v>
      </c>
      <c r="B14" s="99">
        <f>'103'!C78</f>
        <v>0</v>
      </c>
      <c r="C14" s="99">
        <f>'103'!C81</f>
        <v>0</v>
      </c>
      <c r="D14" s="99">
        <v>0</v>
      </c>
      <c r="E14" s="99">
        <f>'Trajetos Carater Especial '!$F$32</f>
        <v>0</v>
      </c>
      <c r="F14" s="147">
        <f t="shared" si="0"/>
        <v>0</v>
      </c>
      <c r="G14" s="147">
        <f t="shared" si="1"/>
        <v>0</v>
      </c>
      <c r="H14" s="147">
        <f t="shared" si="2"/>
        <v>0</v>
      </c>
      <c r="I14" s="99">
        <f t="shared" si="6"/>
        <v>0</v>
      </c>
      <c r="J14" s="148">
        <f t="shared" si="7"/>
        <v>0</v>
      </c>
      <c r="K14" s="112">
        <f>'103'!D78</f>
        <v>0</v>
      </c>
      <c r="L14" s="112">
        <f>'103'!D81</f>
        <v>0</v>
      </c>
      <c r="M14" s="112">
        <v>0</v>
      </c>
      <c r="N14" s="112">
        <f>'Trajetos Carater Especial '!$G$32</f>
        <v>0</v>
      </c>
      <c r="O14" s="101">
        <f t="shared" si="3"/>
        <v>0</v>
      </c>
      <c r="P14" s="101">
        <f t="shared" si="4"/>
        <v>0</v>
      </c>
      <c r="Q14" s="101">
        <f t="shared" si="5"/>
        <v>0</v>
      </c>
      <c r="R14" s="112">
        <f t="shared" si="8"/>
        <v>0</v>
      </c>
      <c r="S14" s="100">
        <f t="shared" si="9"/>
        <v>0</v>
      </c>
    </row>
    <row r="15" ht="20.1" customHeight="1" spans="1:19">
      <c r="A15" s="150" t="s">
        <v>447</v>
      </c>
      <c r="B15" s="17">
        <f>'105'!C36</f>
        <v>0</v>
      </c>
      <c r="C15" s="17">
        <f>'105'!C37</f>
        <v>0</v>
      </c>
      <c r="D15" s="17">
        <v>0</v>
      </c>
      <c r="E15" s="17">
        <v>0</v>
      </c>
      <c r="F15" s="151">
        <f t="shared" si="0"/>
        <v>0</v>
      </c>
      <c r="G15" s="151">
        <f t="shared" si="1"/>
        <v>0</v>
      </c>
      <c r="H15" s="151">
        <f t="shared" si="2"/>
        <v>0</v>
      </c>
      <c r="I15" s="17">
        <f t="shared" si="6"/>
        <v>0</v>
      </c>
      <c r="J15" s="152">
        <f t="shared" si="7"/>
        <v>0</v>
      </c>
      <c r="K15" s="109">
        <f>'105'!D36</f>
        <v>0</v>
      </c>
      <c r="L15" s="109">
        <f>'105'!D37</f>
        <v>0</v>
      </c>
      <c r="M15" s="109">
        <v>0</v>
      </c>
      <c r="N15" s="109">
        <v>0</v>
      </c>
      <c r="O15" s="96">
        <f t="shared" si="3"/>
        <v>0</v>
      </c>
      <c r="P15" s="109">
        <f t="shared" si="4"/>
        <v>0</v>
      </c>
      <c r="Q15" s="109">
        <f t="shared" si="5"/>
        <v>0</v>
      </c>
      <c r="R15" s="109">
        <f t="shared" si="8"/>
        <v>0</v>
      </c>
      <c r="S15" s="95">
        <f t="shared" si="9"/>
        <v>0</v>
      </c>
    </row>
    <row r="16" ht="20.1" customHeight="1" spans="1:19">
      <c r="A16" s="146" t="s">
        <v>448</v>
      </c>
      <c r="B16" s="99">
        <f>'107'!C61</f>
        <v>0</v>
      </c>
      <c r="C16" s="99">
        <f>'107'!C62</f>
        <v>0</v>
      </c>
      <c r="D16" s="99">
        <v>0</v>
      </c>
      <c r="E16" s="99">
        <f>'Trajetos Carater Especial '!$G$46</f>
        <v>0</v>
      </c>
      <c r="F16" s="147">
        <f t="shared" si="0"/>
        <v>0</v>
      </c>
      <c r="G16" s="147">
        <f t="shared" si="1"/>
        <v>0</v>
      </c>
      <c r="H16" s="147">
        <f t="shared" si="2"/>
        <v>0</v>
      </c>
      <c r="I16" s="99">
        <f t="shared" si="6"/>
        <v>0</v>
      </c>
      <c r="J16" s="148">
        <f t="shared" si="7"/>
        <v>0</v>
      </c>
      <c r="K16" s="112">
        <f>'107'!D61</f>
        <v>0</v>
      </c>
      <c r="L16" s="112">
        <f>'107'!D62</f>
        <v>0</v>
      </c>
      <c r="M16" s="112">
        <v>0</v>
      </c>
      <c r="N16" s="112">
        <f>'Trajetos Carater Especial '!$H$46</f>
        <v>0</v>
      </c>
      <c r="O16" s="101">
        <f t="shared" si="3"/>
        <v>0</v>
      </c>
      <c r="P16" s="112">
        <f t="shared" si="4"/>
        <v>0</v>
      </c>
      <c r="Q16" s="112">
        <f t="shared" si="5"/>
        <v>0</v>
      </c>
      <c r="R16" s="112">
        <f t="shared" si="8"/>
        <v>0</v>
      </c>
      <c r="S16" s="100">
        <f t="shared" si="9"/>
        <v>0</v>
      </c>
    </row>
    <row r="17" ht="20.1" customHeight="1" spans="1:19">
      <c r="A17" s="150" t="s">
        <v>73</v>
      </c>
      <c r="B17" s="17">
        <f>'108'!C39</f>
        <v>0</v>
      </c>
      <c r="C17" s="17">
        <f>'108'!C40</f>
        <v>0</v>
      </c>
      <c r="D17" s="17">
        <v>0</v>
      </c>
      <c r="E17" s="17">
        <v>0</v>
      </c>
      <c r="F17" s="151">
        <f t="shared" si="0"/>
        <v>0</v>
      </c>
      <c r="G17" s="151">
        <f t="shared" si="1"/>
        <v>0</v>
      </c>
      <c r="H17" s="151">
        <f t="shared" si="2"/>
        <v>0</v>
      </c>
      <c r="I17" s="17">
        <f t="shared" si="6"/>
        <v>0</v>
      </c>
      <c r="J17" s="152">
        <f t="shared" si="7"/>
        <v>0</v>
      </c>
      <c r="K17" s="109">
        <f>'108'!D39</f>
        <v>0</v>
      </c>
      <c r="L17" s="109">
        <f>'108'!D40</f>
        <v>0</v>
      </c>
      <c r="M17" s="109">
        <v>0</v>
      </c>
      <c r="N17" s="109">
        <v>0</v>
      </c>
      <c r="O17" s="96">
        <f t="shared" si="3"/>
        <v>0</v>
      </c>
      <c r="P17" s="109">
        <f t="shared" si="4"/>
        <v>0</v>
      </c>
      <c r="Q17" s="109">
        <f t="shared" si="5"/>
        <v>0</v>
      </c>
      <c r="R17" s="109">
        <f t="shared" si="8"/>
        <v>0</v>
      </c>
      <c r="S17" s="95">
        <f t="shared" si="9"/>
        <v>0</v>
      </c>
    </row>
    <row r="18" ht="20.1" customHeight="1" spans="1:19">
      <c r="A18" s="146" t="s">
        <v>80</v>
      </c>
      <c r="B18" s="99">
        <f>'109'!G28</f>
        <v>0</v>
      </c>
      <c r="C18" s="99">
        <v>0</v>
      </c>
      <c r="D18" s="99">
        <v>0</v>
      </c>
      <c r="E18" s="99">
        <v>0</v>
      </c>
      <c r="F18" s="147">
        <f t="shared" si="0"/>
        <v>0</v>
      </c>
      <c r="G18" s="147">
        <f t="shared" si="1"/>
        <v>0</v>
      </c>
      <c r="H18" s="147">
        <f t="shared" si="2"/>
        <v>0</v>
      </c>
      <c r="I18" s="99">
        <f t="shared" si="6"/>
        <v>0</v>
      </c>
      <c r="J18" s="148">
        <f t="shared" si="7"/>
        <v>0</v>
      </c>
      <c r="K18" s="112">
        <f>'109'!H28</f>
        <v>0</v>
      </c>
      <c r="L18" s="112">
        <v>0</v>
      </c>
      <c r="M18" s="112">
        <v>0</v>
      </c>
      <c r="N18" s="112">
        <v>0</v>
      </c>
      <c r="O18" s="101">
        <f t="shared" si="3"/>
        <v>0</v>
      </c>
      <c r="P18" s="112">
        <f t="shared" si="4"/>
        <v>0</v>
      </c>
      <c r="Q18" s="112">
        <f t="shared" si="5"/>
        <v>0</v>
      </c>
      <c r="R18" s="112">
        <f t="shared" si="8"/>
        <v>0</v>
      </c>
      <c r="S18" s="100">
        <f t="shared" si="9"/>
        <v>0</v>
      </c>
    </row>
    <row r="19" ht="20.1" customHeight="1" spans="1:19">
      <c r="A19" s="150" t="s">
        <v>449</v>
      </c>
      <c r="B19" s="17">
        <f>'110'!C40</f>
        <v>0</v>
      </c>
      <c r="C19" s="17">
        <f>'110'!C41</f>
        <v>0</v>
      </c>
      <c r="D19" s="17">
        <v>0</v>
      </c>
      <c r="E19" s="17">
        <f>'Trajetos Carater Especial '!$F$54</f>
        <v>0</v>
      </c>
      <c r="F19" s="151">
        <f t="shared" si="0"/>
        <v>0</v>
      </c>
      <c r="G19" s="151">
        <f t="shared" si="1"/>
        <v>0</v>
      </c>
      <c r="H19" s="151">
        <f t="shared" si="2"/>
        <v>0</v>
      </c>
      <c r="I19" s="17">
        <f t="shared" si="6"/>
        <v>0</v>
      </c>
      <c r="J19" s="152">
        <f t="shared" si="7"/>
        <v>0</v>
      </c>
      <c r="K19" s="109">
        <f>'110'!D40</f>
        <v>0</v>
      </c>
      <c r="L19" s="109">
        <f>'110'!D41</f>
        <v>0</v>
      </c>
      <c r="M19" s="109">
        <v>0</v>
      </c>
      <c r="N19" s="109">
        <f>'Trajetos Carater Especial '!$G$54</f>
        <v>0</v>
      </c>
      <c r="O19" s="96">
        <f t="shared" si="3"/>
        <v>0</v>
      </c>
      <c r="P19" s="109">
        <f t="shared" si="4"/>
        <v>0</v>
      </c>
      <c r="Q19" s="109">
        <f t="shared" si="5"/>
        <v>0</v>
      </c>
      <c r="R19" s="109">
        <f t="shared" si="8"/>
        <v>0</v>
      </c>
      <c r="S19" s="95">
        <f t="shared" si="9"/>
        <v>0</v>
      </c>
    </row>
    <row r="20" ht="20.1" customHeight="1" spans="1:19">
      <c r="A20" s="146" t="s">
        <v>450</v>
      </c>
      <c r="B20" s="99">
        <f>'111'!C38</f>
        <v>0</v>
      </c>
      <c r="C20" s="99">
        <f>'111'!C39</f>
        <v>0</v>
      </c>
      <c r="D20" s="99">
        <v>0</v>
      </c>
      <c r="E20" s="99">
        <v>0</v>
      </c>
      <c r="F20" s="147">
        <f t="shared" si="0"/>
        <v>0</v>
      </c>
      <c r="G20" s="147">
        <f t="shared" si="1"/>
        <v>0</v>
      </c>
      <c r="H20" s="147">
        <f t="shared" si="2"/>
        <v>0</v>
      </c>
      <c r="I20" s="99">
        <f t="shared" si="6"/>
        <v>0</v>
      </c>
      <c r="J20" s="148">
        <f t="shared" si="7"/>
        <v>0</v>
      </c>
      <c r="K20" s="112">
        <f>'111'!D38</f>
        <v>0</v>
      </c>
      <c r="L20" s="112">
        <f>'111'!D39</f>
        <v>0</v>
      </c>
      <c r="M20" s="112">
        <v>0</v>
      </c>
      <c r="N20" s="112">
        <v>0</v>
      </c>
      <c r="O20" s="101">
        <f t="shared" si="3"/>
        <v>0</v>
      </c>
      <c r="P20" s="112">
        <f t="shared" si="4"/>
        <v>0</v>
      </c>
      <c r="Q20" s="112">
        <f t="shared" si="5"/>
        <v>0</v>
      </c>
      <c r="R20" s="112">
        <f t="shared" si="8"/>
        <v>0</v>
      </c>
      <c r="S20" s="100">
        <f t="shared" si="9"/>
        <v>0</v>
      </c>
    </row>
    <row r="21" ht="20.1" customHeight="1" spans="1:19">
      <c r="A21" s="150" t="s">
        <v>451</v>
      </c>
      <c r="B21" s="17">
        <f>'112'!C60</f>
        <v>0</v>
      </c>
      <c r="C21" s="17">
        <f>'112'!C61</f>
        <v>0</v>
      </c>
      <c r="D21" s="17">
        <v>0</v>
      </c>
      <c r="E21" s="17">
        <f>'Trajetos Carater Especial '!$F$65</f>
        <v>0</v>
      </c>
      <c r="F21" s="151">
        <f t="shared" si="0"/>
        <v>0</v>
      </c>
      <c r="G21" s="151">
        <f t="shared" si="1"/>
        <v>0</v>
      </c>
      <c r="H21" s="151">
        <f t="shared" si="2"/>
        <v>0</v>
      </c>
      <c r="I21" s="17">
        <f t="shared" si="6"/>
        <v>0</v>
      </c>
      <c r="J21" s="152">
        <f t="shared" si="7"/>
        <v>0</v>
      </c>
      <c r="K21" s="109">
        <f>'112'!D60</f>
        <v>0</v>
      </c>
      <c r="L21" s="109">
        <f>'112'!D61</f>
        <v>0</v>
      </c>
      <c r="M21" s="109">
        <v>0</v>
      </c>
      <c r="N21" s="109">
        <f>'Trajetos Carater Especial '!$G$65</f>
        <v>0</v>
      </c>
      <c r="O21" s="96">
        <f t="shared" si="3"/>
        <v>0</v>
      </c>
      <c r="P21" s="109">
        <f t="shared" si="4"/>
        <v>0</v>
      </c>
      <c r="Q21" s="109">
        <f t="shared" si="5"/>
        <v>0</v>
      </c>
      <c r="R21" s="109">
        <f t="shared" si="8"/>
        <v>0</v>
      </c>
      <c r="S21" s="95">
        <f t="shared" si="9"/>
        <v>0</v>
      </c>
    </row>
    <row r="22" ht="20.1" customHeight="1" spans="1:19">
      <c r="A22" s="146" t="s">
        <v>452</v>
      </c>
      <c r="B22" s="99">
        <f>'113'!C88</f>
        <v>0</v>
      </c>
      <c r="C22" s="99">
        <f>'113'!C91</f>
        <v>0</v>
      </c>
      <c r="D22" s="99">
        <f>'113'!C92</f>
        <v>0</v>
      </c>
      <c r="E22" s="99">
        <f>'Trajetos Carater Especial '!$F$73</f>
        <v>0</v>
      </c>
      <c r="F22" s="147">
        <f t="shared" si="0"/>
        <v>0</v>
      </c>
      <c r="G22" s="147">
        <f t="shared" si="1"/>
        <v>0</v>
      </c>
      <c r="H22" s="147">
        <f t="shared" si="2"/>
        <v>0</v>
      </c>
      <c r="I22" s="99">
        <f t="shared" si="6"/>
        <v>0</v>
      </c>
      <c r="J22" s="148">
        <f t="shared" si="7"/>
        <v>0</v>
      </c>
      <c r="K22" s="112">
        <f>'113'!D88</f>
        <v>0</v>
      </c>
      <c r="L22" s="112">
        <f>'113'!D91</f>
        <v>0</v>
      </c>
      <c r="M22" s="112">
        <f>'113'!D92</f>
        <v>0</v>
      </c>
      <c r="N22" s="112">
        <f>'Trajetos Carater Especial '!$G$73</f>
        <v>0</v>
      </c>
      <c r="O22" s="101">
        <f t="shared" si="3"/>
        <v>0</v>
      </c>
      <c r="P22" s="101">
        <f t="shared" si="4"/>
        <v>0</v>
      </c>
      <c r="Q22" s="101">
        <f t="shared" si="5"/>
        <v>0</v>
      </c>
      <c r="R22" s="112">
        <f t="shared" si="8"/>
        <v>0</v>
      </c>
      <c r="S22" s="100">
        <f t="shared" si="9"/>
        <v>0</v>
      </c>
    </row>
    <row r="23" ht="20.1" customHeight="1" spans="1:19">
      <c r="A23" s="150" t="s">
        <v>453</v>
      </c>
      <c r="B23" s="17">
        <f>'114'!I71</f>
        <v>0</v>
      </c>
      <c r="C23" s="17">
        <f>'114'!I72</f>
        <v>0</v>
      </c>
      <c r="D23" s="17">
        <f>'113'!C92</f>
        <v>0</v>
      </c>
      <c r="E23" s="17">
        <f>'Trajetos Carater Especial '!$F$86</f>
        <v>0</v>
      </c>
      <c r="F23" s="151">
        <f t="shared" si="0"/>
        <v>0</v>
      </c>
      <c r="G23" s="151">
        <f t="shared" si="1"/>
        <v>0</v>
      </c>
      <c r="H23" s="151">
        <v>0</v>
      </c>
      <c r="I23" s="17">
        <f t="shared" si="6"/>
        <v>0</v>
      </c>
      <c r="J23" s="152">
        <f t="shared" si="7"/>
        <v>0</v>
      </c>
      <c r="K23" s="109">
        <f>'114'!J71</f>
        <v>0</v>
      </c>
      <c r="L23" s="109">
        <f>'114'!J72</f>
        <v>0</v>
      </c>
      <c r="M23" s="109">
        <v>0</v>
      </c>
      <c r="N23" s="109">
        <f>'Trajetos Carater Especial '!$G$86</f>
        <v>0</v>
      </c>
      <c r="O23" s="96">
        <f t="shared" si="3"/>
        <v>0</v>
      </c>
      <c r="P23" s="109">
        <f t="shared" si="4"/>
        <v>0</v>
      </c>
      <c r="Q23" s="109">
        <f t="shared" si="5"/>
        <v>0</v>
      </c>
      <c r="R23" s="109">
        <f t="shared" si="8"/>
        <v>0</v>
      </c>
      <c r="S23" s="95">
        <f t="shared" si="9"/>
        <v>0</v>
      </c>
    </row>
    <row r="24" ht="20.1" customHeight="1" spans="1:19">
      <c r="A24" s="146" t="s">
        <v>454</v>
      </c>
      <c r="B24" s="99">
        <f>'115'!C45</f>
        <v>0</v>
      </c>
      <c r="C24" s="99">
        <f>'115'!C46</f>
        <v>0</v>
      </c>
      <c r="D24" s="99">
        <v>0</v>
      </c>
      <c r="E24" s="99">
        <v>0</v>
      </c>
      <c r="F24" s="147">
        <f t="shared" si="0"/>
        <v>0</v>
      </c>
      <c r="G24" s="147">
        <f t="shared" si="1"/>
        <v>0</v>
      </c>
      <c r="H24" s="147">
        <f t="shared" si="2"/>
        <v>0</v>
      </c>
      <c r="I24" s="99">
        <f t="shared" si="6"/>
        <v>0</v>
      </c>
      <c r="J24" s="148">
        <f t="shared" si="7"/>
        <v>0</v>
      </c>
      <c r="K24" s="112">
        <f>'115'!D45</f>
        <v>0</v>
      </c>
      <c r="L24" s="112">
        <f>'115'!D46</f>
        <v>0</v>
      </c>
      <c r="M24" s="112">
        <v>0</v>
      </c>
      <c r="N24" s="112">
        <v>0</v>
      </c>
      <c r="O24" s="101">
        <f t="shared" si="3"/>
        <v>0</v>
      </c>
      <c r="P24" s="112">
        <f t="shared" si="4"/>
        <v>0</v>
      </c>
      <c r="Q24" s="112">
        <f t="shared" si="5"/>
        <v>0</v>
      </c>
      <c r="R24" s="112">
        <f t="shared" si="8"/>
        <v>0</v>
      </c>
      <c r="S24" s="100">
        <f t="shared" si="9"/>
        <v>0</v>
      </c>
    </row>
    <row r="25" ht="20.1" customHeight="1" spans="1:19">
      <c r="A25" s="150" t="s">
        <v>455</v>
      </c>
      <c r="B25" s="17">
        <f>'116'!C40</f>
        <v>0</v>
      </c>
      <c r="C25" s="17">
        <f>'116'!C41</f>
        <v>0</v>
      </c>
      <c r="D25" s="17">
        <v>0</v>
      </c>
      <c r="E25" s="17">
        <v>0</v>
      </c>
      <c r="F25" s="151">
        <f t="shared" si="0"/>
        <v>0</v>
      </c>
      <c r="G25" s="151">
        <f t="shared" si="1"/>
        <v>0</v>
      </c>
      <c r="H25" s="151">
        <f t="shared" si="2"/>
        <v>0</v>
      </c>
      <c r="I25" s="17">
        <f t="shared" si="6"/>
        <v>0</v>
      </c>
      <c r="J25" s="152">
        <f t="shared" si="7"/>
        <v>0</v>
      </c>
      <c r="K25" s="109">
        <f>'116'!D40</f>
        <v>0</v>
      </c>
      <c r="L25" s="109">
        <f>'116'!D41</f>
        <v>0</v>
      </c>
      <c r="M25" s="109">
        <v>0</v>
      </c>
      <c r="N25" s="109">
        <v>0</v>
      </c>
      <c r="O25" s="96">
        <f t="shared" si="3"/>
        <v>0</v>
      </c>
      <c r="P25" s="109">
        <f t="shared" si="4"/>
        <v>0</v>
      </c>
      <c r="Q25" s="109">
        <f t="shared" si="5"/>
        <v>0</v>
      </c>
      <c r="R25" s="109">
        <f t="shared" si="8"/>
        <v>0</v>
      </c>
      <c r="S25" s="95">
        <f t="shared" si="9"/>
        <v>0</v>
      </c>
    </row>
    <row r="26" ht="20.1" customHeight="1" spans="1:19">
      <c r="A26" s="146" t="s">
        <v>168</v>
      </c>
      <c r="B26" s="99">
        <f>'117'!C14</f>
        <v>0</v>
      </c>
      <c r="C26" s="99">
        <v>0</v>
      </c>
      <c r="D26" s="99">
        <v>0</v>
      </c>
      <c r="E26" s="99">
        <v>0</v>
      </c>
      <c r="F26" s="147">
        <f t="shared" si="0"/>
        <v>0</v>
      </c>
      <c r="G26" s="147">
        <f t="shared" si="1"/>
        <v>0</v>
      </c>
      <c r="H26" s="147">
        <f t="shared" si="2"/>
        <v>0</v>
      </c>
      <c r="I26" s="99">
        <f t="shared" si="6"/>
        <v>0</v>
      </c>
      <c r="J26" s="148">
        <f t="shared" si="7"/>
        <v>0</v>
      </c>
      <c r="K26" s="112">
        <f>'117'!D14</f>
        <v>0</v>
      </c>
      <c r="L26" s="112">
        <v>0</v>
      </c>
      <c r="M26" s="112">
        <v>0</v>
      </c>
      <c r="N26" s="112">
        <v>0</v>
      </c>
      <c r="O26" s="101">
        <f t="shared" si="3"/>
        <v>0</v>
      </c>
      <c r="P26" s="112">
        <f t="shared" si="4"/>
        <v>0</v>
      </c>
      <c r="Q26" s="112">
        <f t="shared" si="5"/>
        <v>0</v>
      </c>
      <c r="R26" s="112">
        <f t="shared" si="8"/>
        <v>0</v>
      </c>
      <c r="S26" s="100">
        <f t="shared" si="9"/>
        <v>0</v>
      </c>
    </row>
    <row r="27" ht="20.1" customHeight="1" spans="1:19">
      <c r="A27" s="146" t="s">
        <v>456</v>
      </c>
      <c r="B27" s="99">
        <f>'119'!C119</f>
        <v>0</v>
      </c>
      <c r="C27" s="99">
        <f>'119'!C120</f>
        <v>0</v>
      </c>
      <c r="D27" s="99">
        <f>'119'!C121</f>
        <v>0</v>
      </c>
      <c r="E27" s="99">
        <f>'Trajetos Carater Especial '!$F$107</f>
        <v>0</v>
      </c>
      <c r="F27" s="147">
        <f t="shared" si="0"/>
        <v>0</v>
      </c>
      <c r="G27" s="147">
        <f t="shared" si="1"/>
        <v>0</v>
      </c>
      <c r="H27" s="147">
        <f t="shared" si="2"/>
        <v>0</v>
      </c>
      <c r="I27" s="99">
        <f t="shared" si="6"/>
        <v>0</v>
      </c>
      <c r="J27" s="148">
        <f t="shared" si="7"/>
        <v>0</v>
      </c>
      <c r="K27" s="112">
        <f>'119'!D119</f>
        <v>0</v>
      </c>
      <c r="L27" s="112">
        <f>'119'!D120</f>
        <v>0</v>
      </c>
      <c r="M27" s="112">
        <f>'119'!D121</f>
        <v>0</v>
      </c>
      <c r="N27" s="112">
        <f>'Trajetos Carater Especial '!$G$107</f>
        <v>0</v>
      </c>
      <c r="O27" s="101">
        <f t="shared" si="3"/>
        <v>0</v>
      </c>
      <c r="P27" s="112">
        <f t="shared" si="4"/>
        <v>0</v>
      </c>
      <c r="Q27" s="112">
        <f t="shared" si="5"/>
        <v>0</v>
      </c>
      <c r="R27" s="112">
        <f t="shared" si="8"/>
        <v>0</v>
      </c>
      <c r="S27" s="100">
        <f t="shared" si="9"/>
        <v>0</v>
      </c>
    </row>
    <row r="28" ht="24.95" customHeight="1" spans="1:19">
      <c r="B28" s="153"/>
      <c r="C28" s="153"/>
      <c r="D28" s="153"/>
      <c r="F28" s="153"/>
      <c r="G28" s="153"/>
      <c r="H28" s="153"/>
      <c r="K28" s="154"/>
      <c r="L28" s="155"/>
      <c r="M28" s="156" t="s">
        <v>457</v>
      </c>
      <c r="N28" s="157"/>
      <c r="O28" s="158">
        <f>SUM(O12:O27)</f>
        <v>0</v>
      </c>
      <c r="P28" s="158">
        <f>SUM(P12:P27)</f>
        <v>0</v>
      </c>
      <c r="Q28" s="158">
        <f>SUM(Q12:Q27)</f>
        <v>0</v>
      </c>
      <c r="R28" s="158">
        <f>SUM(R12:R27)</f>
        <v>0</v>
      </c>
      <c r="S28" s="159">
        <f>SUM(S12:S27)</f>
        <v>0</v>
      </c>
    </row>
    <row r="29" ht="5.1" customHeight="1" spans="1:19">
      <c r="A29" s="160"/>
      <c r="B29" s="161"/>
      <c r="C29" s="161"/>
      <c r="D29" s="161"/>
      <c r="E29" s="38"/>
      <c r="F29" s="38"/>
      <c r="G29" s="38"/>
      <c r="H29" s="162"/>
      <c r="I29" s="163"/>
      <c r="J29" s="163"/>
      <c r="K29" s="163"/>
      <c r="L29" s="89"/>
      <c r="M29" s="163"/>
      <c r="N29" s="163"/>
      <c r="O29" s="164"/>
    </row>
    <row r="30" s="1" customFormat="1" ht="33" customHeight="1" spans="1:19">
      <c r="A30" s="10" t="s">
        <v>424</v>
      </c>
      <c r="B30" s="10"/>
      <c r="C30" s="10"/>
      <c r="D30" s="10"/>
      <c r="E30" s="10"/>
      <c r="F30" s="10"/>
      <c r="G30" s="10"/>
      <c r="H30" s="10"/>
      <c r="I30" s="10"/>
      <c r="J30" s="10"/>
      <c r="K30" s="10"/>
      <c r="L30" s="10"/>
      <c r="M30" s="10"/>
      <c r="N30" s="10"/>
      <c r="O30" s="10"/>
      <c r="P30" s="10"/>
      <c r="Q30" s="10"/>
      <c r="R30" s="10"/>
      <c r="S30" s="10"/>
    </row>
    <row r="31" s="2" customFormat="1" ht="34.5" customHeight="1" spans="1:19">
      <c r="A31" s="141" t="s">
        <v>434</v>
      </c>
      <c r="B31" s="11" t="s">
        <v>435</v>
      </c>
      <c r="C31" s="11"/>
      <c r="D31" s="11"/>
      <c r="E31" s="11"/>
      <c r="F31" s="13" t="s">
        <v>436</v>
      </c>
      <c r="G31" s="14"/>
      <c r="H31" s="14"/>
      <c r="I31" s="14"/>
      <c r="J31" s="15"/>
      <c r="K31" s="11" t="s">
        <v>438</v>
      </c>
      <c r="L31" s="11"/>
      <c r="M31" s="11"/>
      <c r="N31" s="11"/>
      <c r="O31" s="13" t="s">
        <v>439</v>
      </c>
      <c r="P31" s="14"/>
      <c r="Q31" s="14"/>
      <c r="R31" s="14"/>
      <c r="S31" s="15"/>
    </row>
    <row r="32" s="2" customFormat="1" ht="55.5" customHeight="1" spans="1:19">
      <c r="A32" s="143"/>
      <c r="B32" s="12" t="s">
        <v>425</v>
      </c>
      <c r="C32" s="11" t="s">
        <v>441</v>
      </c>
      <c r="D32" s="12" t="s">
        <v>442</v>
      </c>
      <c r="E32" s="12" t="s">
        <v>443</v>
      </c>
      <c r="F32" s="11" t="s">
        <v>425</v>
      </c>
      <c r="G32" s="11" t="s">
        <v>441</v>
      </c>
      <c r="H32" s="12" t="s">
        <v>442</v>
      </c>
      <c r="I32" s="11" t="s">
        <v>443</v>
      </c>
      <c r="J32" s="165" t="s">
        <v>458</v>
      </c>
      <c r="K32" s="12" t="s">
        <v>425</v>
      </c>
      <c r="L32" s="12" t="s">
        <v>441</v>
      </c>
      <c r="M32" s="11" t="s">
        <v>442</v>
      </c>
      <c r="N32" s="12" t="s">
        <v>443</v>
      </c>
      <c r="O32" s="11" t="s">
        <v>425</v>
      </c>
      <c r="P32" s="12" t="s">
        <v>441</v>
      </c>
      <c r="Q32" s="11" t="s">
        <v>442</v>
      </c>
      <c r="R32" s="11" t="s">
        <v>443</v>
      </c>
      <c r="S32" s="12" t="s">
        <v>440</v>
      </c>
    </row>
    <row r="33" ht="20.1" customHeight="1" spans="1:19">
      <c r="A33" s="146" t="s">
        <v>200</v>
      </c>
      <c r="B33" s="99">
        <f>'201'!C37</f>
        <v>0</v>
      </c>
      <c r="C33" s="99">
        <v>0</v>
      </c>
      <c r="D33" s="99">
        <v>0</v>
      </c>
      <c r="E33" s="99">
        <f>'201'!C37</f>
        <v>0</v>
      </c>
      <c r="F33" s="99">
        <f>B33*$G$7</f>
        <v>0</v>
      </c>
      <c r="G33" s="99">
        <f>C33*$H$7</f>
        <v>0</v>
      </c>
      <c r="H33" s="99">
        <f>D33*$I$7</f>
        <v>0</v>
      </c>
      <c r="I33" s="99">
        <f>E33*$J$7</f>
        <v>0</v>
      </c>
      <c r="J33" s="166">
        <f>SUM(F33:I33)</f>
        <v>0</v>
      </c>
      <c r="K33" s="112">
        <f>'201'!D37</f>
        <v>0</v>
      </c>
      <c r="L33" s="112">
        <v>0</v>
      </c>
      <c r="M33" s="112">
        <v>0</v>
      </c>
      <c r="N33" s="112">
        <f>'201'!D37</f>
        <v>0</v>
      </c>
      <c r="O33" s="101">
        <f>K33*$G$7</f>
        <v>0</v>
      </c>
      <c r="P33" s="112">
        <f>L33*$H$7</f>
        <v>0</v>
      </c>
      <c r="Q33" s="112">
        <f>M33*$I$7</f>
        <v>0</v>
      </c>
      <c r="R33" s="112">
        <f>SUM((N33*$J$68)+('201'!D35*GERAL!$K$7)+('201'!D36*GERAL!$L$7))</f>
        <v>0</v>
      </c>
      <c r="S33" s="100">
        <f>SUM(O33:R33)</f>
        <v>0</v>
      </c>
    </row>
    <row r="34" ht="20.1" customHeight="1" spans="1:19">
      <c r="A34" s="150" t="s">
        <v>209</v>
      </c>
      <c r="B34" s="17">
        <f>'202'!C34</f>
        <v>0</v>
      </c>
      <c r="C34" s="17">
        <v>0</v>
      </c>
      <c r="D34" s="17">
        <v>0</v>
      </c>
      <c r="E34" s="17">
        <f>'202'!C34</f>
        <v>0</v>
      </c>
      <c r="F34" s="17">
        <f>B34*$G$7</f>
        <v>0</v>
      </c>
      <c r="G34" s="17">
        <f>C34*$H$7</f>
        <v>0</v>
      </c>
      <c r="H34" s="17">
        <f>D34*$I$7</f>
        <v>0</v>
      </c>
      <c r="I34" s="17">
        <f>E34*$J$7</f>
        <v>0</v>
      </c>
      <c r="J34" s="167">
        <f>SUM(F34:I34)</f>
        <v>0</v>
      </c>
      <c r="K34" s="109">
        <f>'202'!D34</f>
        <v>0</v>
      </c>
      <c r="L34" s="109">
        <v>0</v>
      </c>
      <c r="M34" s="109">
        <v>0</v>
      </c>
      <c r="N34" s="109">
        <f>'202'!D34</f>
        <v>0</v>
      </c>
      <c r="O34" s="96">
        <f>K34*$G$7</f>
        <v>0</v>
      </c>
      <c r="P34" s="109">
        <f>L34*$H$7</f>
        <v>0</v>
      </c>
      <c r="Q34" s="109">
        <f>M34*$I$7</f>
        <v>0</v>
      </c>
      <c r="R34" s="109">
        <f>SUM((N34*$J$7)+('202'!D32*GERAL!$K$7)+('202'!D33*GERAL!$L$7))</f>
        <v>0</v>
      </c>
      <c r="S34" s="95">
        <f>SUM(O34:R34)</f>
        <v>0</v>
      </c>
    </row>
    <row r="35" ht="20.1" customHeight="1" spans="1:19">
      <c r="A35" s="146" t="s">
        <v>459</v>
      </c>
      <c r="B35" s="99">
        <f>'205'!C33</f>
        <v>0</v>
      </c>
      <c r="C35" s="99">
        <v>0</v>
      </c>
      <c r="D35" s="99">
        <v>0</v>
      </c>
      <c r="E35" s="99">
        <f>'205'!C33</f>
        <v>0</v>
      </c>
      <c r="F35" s="99">
        <f>B35*$G$7</f>
        <v>0</v>
      </c>
      <c r="G35" s="99">
        <f>C35*$H$7</f>
        <v>0</v>
      </c>
      <c r="H35" s="99">
        <f>D35*$I$7</f>
        <v>0</v>
      </c>
      <c r="I35" s="99">
        <f>E35*$J$7</f>
        <v>0</v>
      </c>
      <c r="J35" s="166">
        <f>SUM(F35:I35)</f>
        <v>0</v>
      </c>
      <c r="K35" s="112">
        <f>'205'!D33</f>
        <v>0</v>
      </c>
      <c r="L35" s="112">
        <v>0</v>
      </c>
      <c r="M35" s="112">
        <v>0</v>
      </c>
      <c r="N35" s="112">
        <f>'205'!D33</f>
        <v>0</v>
      </c>
      <c r="O35" s="101">
        <f>K35*$G$7</f>
        <v>0</v>
      </c>
      <c r="P35" s="112">
        <f>L35*$H$7</f>
        <v>0</v>
      </c>
      <c r="Q35" s="112">
        <f>M35*$I$7</f>
        <v>0</v>
      </c>
      <c r="R35" s="112">
        <f>((N35*$J$7)+('205'!D31*GERAL!$K$7)+('205'!D32*GERAL!$L$7))</f>
        <v>0</v>
      </c>
      <c r="S35" s="100">
        <f>SUM(O35:R35)</f>
        <v>0</v>
      </c>
    </row>
    <row r="36" ht="20.1" customHeight="1" spans="1:19">
      <c r="A36" s="150" t="s">
        <v>460</v>
      </c>
      <c r="B36" s="17">
        <f>'206'!G54</f>
        <v>0</v>
      </c>
      <c r="C36" s="17">
        <v>0</v>
      </c>
      <c r="D36" s="17">
        <v>0</v>
      </c>
      <c r="E36" s="17">
        <f>SUM('206'!C54)</f>
        <v>0</v>
      </c>
      <c r="F36" s="17">
        <f>B36*$G$7</f>
        <v>0</v>
      </c>
      <c r="G36" s="17">
        <f>C36*$H$7</f>
        <v>0</v>
      </c>
      <c r="H36" s="17">
        <f>D36*$I$7</f>
        <v>0</v>
      </c>
      <c r="I36" s="17">
        <f>SUM(('206'!C54*$J$7)+'Trajeto Especiais Vibra'!C47)</f>
        <v>0</v>
      </c>
      <c r="J36" s="167">
        <f>SUM(F36:I36)</f>
        <v>0</v>
      </c>
      <c r="K36" s="109">
        <f>'206'!H54</f>
        <v>0</v>
      </c>
      <c r="L36" s="109">
        <v>0</v>
      </c>
      <c r="M36" s="109">
        <v>0</v>
      </c>
      <c r="N36" s="109">
        <f>'206'!H54</f>
        <v>0</v>
      </c>
      <c r="O36" s="96">
        <f>K36*$G$7</f>
        <v>0</v>
      </c>
      <c r="P36" s="109">
        <f>L36*$H$7</f>
        <v>0</v>
      </c>
      <c r="Q36" s="109">
        <f>M36*$I$7</f>
        <v>0</v>
      </c>
      <c r="R36" s="109">
        <f>SUM(('206'!D53*$J$7)+('206'!D50*GERAL!$K$7)+('206'!D51*GERAL!$L$7)+'Trajeto Especiais Vibra'!D47)</f>
        <v>0</v>
      </c>
      <c r="S36" s="95">
        <f>SUM(O36:R36)</f>
        <v>0</v>
      </c>
    </row>
    <row r="37" ht="20.1" customHeight="1" spans="1:19">
      <c r="A37" s="146" t="s">
        <v>461</v>
      </c>
      <c r="B37" s="99">
        <f>'301 '!C51</f>
        <v>0</v>
      </c>
      <c r="C37" s="99">
        <v>0</v>
      </c>
      <c r="D37" s="99">
        <v>0</v>
      </c>
      <c r="E37" s="99">
        <f>'301 '!C51</f>
        <v>0</v>
      </c>
      <c r="F37" s="99">
        <f t="shared" ref="F37:F44" si="10">B37*$M$7</f>
        <v>0</v>
      </c>
      <c r="G37" s="99">
        <f t="shared" ref="G37:G44" si="11">C37*$N$7</f>
        <v>0</v>
      </c>
      <c r="H37" s="99">
        <f t="shared" ref="H37:H44" si="12">D37*$O$7</f>
        <v>0</v>
      </c>
      <c r="I37" s="99">
        <f>SUM((E37*P7)+('301 '!C48*GERAL!$R$7)+('301 '!C49*GERAL!$S$7)+('301 '!C50*GERAL!$Q$7))</f>
        <v>0</v>
      </c>
      <c r="J37" s="166">
        <f t="shared" ref="J37:J44" si="13">SUM(F37:I37)</f>
        <v>0</v>
      </c>
      <c r="K37" s="112">
        <f>'301 '!D51</f>
        <v>0</v>
      </c>
      <c r="L37" s="112">
        <v>0</v>
      </c>
      <c r="M37" s="112">
        <v>0</v>
      </c>
      <c r="N37" s="112">
        <f>'301 '!D51</f>
        <v>0</v>
      </c>
      <c r="O37" s="101">
        <f t="shared" ref="O37:O44" si="14">K37*$M$7</f>
        <v>0</v>
      </c>
      <c r="P37" s="112">
        <f t="shared" ref="P37:P44" si="15">L37*$N$7</f>
        <v>0</v>
      </c>
      <c r="Q37" s="112">
        <f t="shared" ref="Q37:Q44" si="16">M37*$O$7</f>
        <v>0</v>
      </c>
      <c r="R37" s="112">
        <f>SUM((N37*$P$7)+('301 '!D48*GERAL!$R$7)+('301 '!D49*GERAL!$S$7)+('301 '!D50*GERAL!Q7))</f>
        <v>0</v>
      </c>
      <c r="S37" s="100">
        <f t="shared" ref="S37:S44" si="17">SUM(O37:R37)</f>
        <v>0</v>
      </c>
    </row>
    <row r="38" spans="1:19">
      <c r="A38" s="150" t="s">
        <v>462</v>
      </c>
      <c r="B38" s="17">
        <f>'301 (Extra)'!C31</f>
        <v>0</v>
      </c>
      <c r="C38" s="17">
        <v>0</v>
      </c>
      <c r="D38" s="17">
        <v>0</v>
      </c>
      <c r="E38" s="17">
        <f>'301 (Extra)'!C31</f>
        <v>0</v>
      </c>
      <c r="F38" s="17">
        <f t="shared" si="10"/>
        <v>0</v>
      </c>
      <c r="G38" s="17">
        <f t="shared" si="11"/>
        <v>0</v>
      </c>
      <c r="H38" s="17">
        <f t="shared" si="12"/>
        <v>0</v>
      </c>
      <c r="I38" s="17">
        <f>SUM((GERAL!E38*GERAL!$P$7)+('301 (Extra)'!C27*GERAL!$R$7))</f>
        <v>0</v>
      </c>
      <c r="J38" s="167">
        <f t="shared" si="13"/>
        <v>0</v>
      </c>
      <c r="K38" s="109">
        <f>'301 (Extra)'!D31</f>
        <v>0</v>
      </c>
      <c r="L38" s="109">
        <v>0</v>
      </c>
      <c r="M38" s="109">
        <v>0</v>
      </c>
      <c r="N38" s="109">
        <f>'301 (Extra)'!D31</f>
        <v>0</v>
      </c>
      <c r="O38" s="96">
        <f t="shared" si="14"/>
        <v>0</v>
      </c>
      <c r="P38" s="109">
        <f t="shared" si="15"/>
        <v>0</v>
      </c>
      <c r="Q38" s="109">
        <f t="shared" si="16"/>
        <v>0</v>
      </c>
      <c r="R38" s="109">
        <f>SUM((N38*$P$7)+('301 (Extra)'!D29*GERAL!$R$7)+('301 (Extra)'!D30*S7))</f>
        <v>0</v>
      </c>
      <c r="S38" s="95">
        <f t="shared" si="17"/>
        <v>0</v>
      </c>
    </row>
    <row r="39" ht="20.1" customHeight="1" spans="1:19">
      <c r="A39" s="146" t="s">
        <v>263</v>
      </c>
      <c r="B39" s="99">
        <f>'302'!C35</f>
        <v>0</v>
      </c>
      <c r="C39" s="99">
        <v>0</v>
      </c>
      <c r="D39" s="99">
        <v>0</v>
      </c>
      <c r="E39" s="99">
        <f>'302'!C35</f>
        <v>0</v>
      </c>
      <c r="F39" s="99">
        <f t="shared" si="10"/>
        <v>0</v>
      </c>
      <c r="G39" s="99">
        <f t="shared" si="11"/>
        <v>0</v>
      </c>
      <c r="H39" s="99">
        <f t="shared" si="12"/>
        <v>0</v>
      </c>
      <c r="I39" s="99">
        <f>SUM((E39*$P$7)+('302'!C33*GERAL!$R$7)+('302'!C34*GERAL!$S$7))</f>
        <v>0</v>
      </c>
      <c r="J39" s="166">
        <f t="shared" si="13"/>
        <v>0</v>
      </c>
      <c r="K39" s="112">
        <f>'302'!D35</f>
        <v>0</v>
      </c>
      <c r="L39" s="112">
        <v>0</v>
      </c>
      <c r="M39" s="112">
        <v>0</v>
      </c>
      <c r="N39" s="112">
        <f>'302'!D35</f>
        <v>0</v>
      </c>
      <c r="O39" s="101">
        <f t="shared" si="14"/>
        <v>0</v>
      </c>
      <c r="P39" s="112">
        <f t="shared" si="15"/>
        <v>0</v>
      </c>
      <c r="Q39" s="112">
        <f t="shared" si="16"/>
        <v>0</v>
      </c>
      <c r="R39" s="112">
        <f>SUM((N39*$P$7)+('302'!D33*GERAL!$R$7)+('302'!D34*GERAL!$S$7))</f>
        <v>0</v>
      </c>
      <c r="S39" s="100">
        <f t="shared" si="17"/>
        <v>0</v>
      </c>
    </row>
    <row r="40" ht="20.1" customHeight="1" spans="1:19">
      <c r="A40" s="150" t="s">
        <v>463</v>
      </c>
      <c r="B40" s="17">
        <f>'302(Extra)'!C33</f>
        <v>0</v>
      </c>
      <c r="C40" s="17">
        <v>0</v>
      </c>
      <c r="D40" s="17">
        <v>0</v>
      </c>
      <c r="E40" s="17">
        <f>'302(Extra)'!C33</f>
        <v>0</v>
      </c>
      <c r="F40" s="17">
        <f t="shared" si="10"/>
        <v>0</v>
      </c>
      <c r="G40" s="17">
        <f t="shared" si="11"/>
        <v>0</v>
      </c>
      <c r="H40" s="17">
        <f t="shared" si="12"/>
        <v>0</v>
      </c>
      <c r="I40" s="17">
        <f>SUM((E40*$P$7)+('302(Extra)'!C21*GERAL!$R$7))</f>
        <v>0</v>
      </c>
      <c r="J40" s="167">
        <f t="shared" si="13"/>
        <v>0</v>
      </c>
      <c r="K40" s="109">
        <f>'302(Extra)'!D33</f>
        <v>0</v>
      </c>
      <c r="L40" s="109">
        <v>0</v>
      </c>
      <c r="M40" s="109">
        <v>0</v>
      </c>
      <c r="N40" s="109">
        <f>'302(Extra)'!D33</f>
        <v>0</v>
      </c>
      <c r="O40" s="96">
        <f t="shared" si="14"/>
        <v>0</v>
      </c>
      <c r="P40" s="109">
        <f t="shared" si="15"/>
        <v>0</v>
      </c>
      <c r="Q40" s="109">
        <f t="shared" si="16"/>
        <v>0</v>
      </c>
      <c r="R40" s="109">
        <f>SUM((N40*$P$7)+('302(Extra)'!D31*GERAL!$R$7)+('302(Extra)'!D32*S7))</f>
        <v>0</v>
      </c>
      <c r="S40" s="95">
        <f t="shared" si="17"/>
        <v>0</v>
      </c>
    </row>
    <row r="41" ht="20.1" customHeight="1" spans="1:19">
      <c r="A41" s="146" t="s">
        <v>464</v>
      </c>
      <c r="B41" s="99">
        <f>'304'!C34</f>
        <v>0</v>
      </c>
      <c r="C41" s="99">
        <v>0</v>
      </c>
      <c r="D41" s="99">
        <v>0</v>
      </c>
      <c r="E41" s="99">
        <f>'304'!C34</f>
        <v>0</v>
      </c>
      <c r="F41" s="99">
        <f t="shared" si="10"/>
        <v>0</v>
      </c>
      <c r="G41" s="99">
        <f t="shared" si="11"/>
        <v>0</v>
      </c>
      <c r="H41" s="99">
        <f t="shared" si="12"/>
        <v>0</v>
      </c>
      <c r="I41" s="99">
        <f>SUM((E41*$P$7)+('304'!C32*GERAL!$R$7)+('304'!C33*GERAL!$S$7))</f>
        <v>0</v>
      </c>
      <c r="J41" s="166">
        <f t="shared" si="13"/>
        <v>0</v>
      </c>
      <c r="K41" s="112">
        <f>'304'!D34</f>
        <v>0</v>
      </c>
      <c r="L41" s="112">
        <v>0</v>
      </c>
      <c r="M41" s="112">
        <v>0</v>
      </c>
      <c r="N41" s="112">
        <f>'304'!D34</f>
        <v>0</v>
      </c>
      <c r="O41" s="101">
        <f t="shared" si="14"/>
        <v>0</v>
      </c>
      <c r="P41" s="112">
        <f t="shared" si="15"/>
        <v>0</v>
      </c>
      <c r="Q41" s="112">
        <f t="shared" si="16"/>
        <v>0</v>
      </c>
      <c r="R41" s="112">
        <f>SUM((N41*$P$7)+('304'!D32*GERAL!R7)+('304'!D33*GERAL!S7))</f>
        <v>0</v>
      </c>
      <c r="S41" s="100">
        <f t="shared" si="17"/>
        <v>0</v>
      </c>
    </row>
    <row r="42" ht="20.1" customHeight="1" spans="1:19">
      <c r="A42" s="150" t="s">
        <v>293</v>
      </c>
      <c r="B42" s="17">
        <f>'305'!C33</f>
        <v>0</v>
      </c>
      <c r="C42" s="17">
        <v>0</v>
      </c>
      <c r="D42" s="17">
        <v>0</v>
      </c>
      <c r="E42" s="17">
        <f>'305'!C33</f>
        <v>0</v>
      </c>
      <c r="F42" s="17">
        <f t="shared" si="10"/>
        <v>0</v>
      </c>
      <c r="G42" s="17">
        <f t="shared" si="11"/>
        <v>0</v>
      </c>
      <c r="H42" s="17">
        <f t="shared" si="12"/>
        <v>0</v>
      </c>
      <c r="I42" s="17">
        <f>SUM(E42*$P$7)+('305'!C32*GERAL!$R$7)+('305'!C33*GERAL!S7)</f>
        <v>0</v>
      </c>
      <c r="J42" s="167">
        <f t="shared" si="13"/>
        <v>0</v>
      </c>
      <c r="K42" s="109">
        <f>'305'!D33</f>
        <v>0</v>
      </c>
      <c r="L42" s="109">
        <v>0</v>
      </c>
      <c r="M42" s="109">
        <v>0</v>
      </c>
      <c r="N42" s="109">
        <f>'305'!D33</f>
        <v>0</v>
      </c>
      <c r="O42" s="96">
        <f t="shared" si="14"/>
        <v>0</v>
      </c>
      <c r="P42" s="109">
        <f t="shared" si="15"/>
        <v>0</v>
      </c>
      <c r="Q42" s="109">
        <f t="shared" si="16"/>
        <v>0</v>
      </c>
      <c r="R42" s="109">
        <f>SUM((N42*$P$7)+('305'!D31*GERAL!$R$7)+('305'!D32*GERAL!S7))</f>
        <v>0</v>
      </c>
      <c r="S42" s="95">
        <f t="shared" si="17"/>
        <v>0</v>
      </c>
    </row>
    <row r="43" ht="20.1" customHeight="1" spans="1:19">
      <c r="A43" s="146" t="s">
        <v>304</v>
      </c>
      <c r="B43" s="99">
        <f>'305 (Extra)'!C13</f>
        <v>0</v>
      </c>
      <c r="C43" s="99">
        <v>0</v>
      </c>
      <c r="D43" s="99">
        <v>0</v>
      </c>
      <c r="E43" s="99">
        <f>'305 (Extra)'!C13</f>
        <v>0</v>
      </c>
      <c r="F43" s="99">
        <f t="shared" si="10"/>
        <v>0</v>
      </c>
      <c r="G43" s="99">
        <f t="shared" si="11"/>
        <v>0</v>
      </c>
      <c r="H43" s="99">
        <f t="shared" si="12"/>
        <v>0</v>
      </c>
      <c r="I43" s="99">
        <f>SUM((E43*$P$7)+('305 (Extra)'!C13*GERAL!$R$7))</f>
        <v>0</v>
      </c>
      <c r="J43" s="166">
        <f t="shared" si="13"/>
        <v>0</v>
      </c>
      <c r="K43" s="112">
        <f>'305 (Extra)'!D13</f>
        <v>0</v>
      </c>
      <c r="L43" s="112">
        <v>0</v>
      </c>
      <c r="M43" s="112">
        <v>0</v>
      </c>
      <c r="N43" s="112">
        <f>'305 (Extra)'!D13</f>
        <v>0</v>
      </c>
      <c r="O43" s="101">
        <f t="shared" si="14"/>
        <v>0</v>
      </c>
      <c r="P43" s="112">
        <f t="shared" si="15"/>
        <v>0</v>
      </c>
      <c r="Q43" s="112">
        <f t="shared" si="16"/>
        <v>0</v>
      </c>
      <c r="R43" s="112">
        <f>SUM((N43*$P$7)+'305 (Extra)'!D13*GERAL!$R$7)</f>
        <v>0</v>
      </c>
      <c r="S43" s="100">
        <f t="shared" si="17"/>
        <v>0</v>
      </c>
    </row>
    <row r="44" ht="20.1" customHeight="1" spans="1:19">
      <c r="A44" s="150" t="s">
        <v>465</v>
      </c>
      <c r="B44" s="17">
        <f>'306'!C57</f>
        <v>0</v>
      </c>
      <c r="C44" s="17">
        <v>0</v>
      </c>
      <c r="D44" s="17">
        <v>0</v>
      </c>
      <c r="E44" s="17">
        <f>'306'!C57</f>
        <v>0</v>
      </c>
      <c r="F44" s="17">
        <f t="shared" si="10"/>
        <v>0</v>
      </c>
      <c r="G44" s="17">
        <f t="shared" si="11"/>
        <v>0</v>
      </c>
      <c r="H44" s="17">
        <f t="shared" si="12"/>
        <v>0</v>
      </c>
      <c r="I44" s="17">
        <f>SUM(('306'!C31*GERAL!$P$7)+('306'!C29*$Q$7)+('306'!C28*$S$7)+'Trajeto Especiais Atlas'!C60)</f>
        <v>0</v>
      </c>
      <c r="J44" s="167">
        <f t="shared" si="13"/>
        <v>0</v>
      </c>
      <c r="K44" s="109">
        <f>'306'!D57</f>
        <v>0</v>
      </c>
      <c r="L44" s="109">
        <v>0</v>
      </c>
      <c r="M44" s="168">
        <v>0</v>
      </c>
      <c r="N44" s="168">
        <f>'306'!D57</f>
        <v>0</v>
      </c>
      <c r="O44" s="169">
        <f t="shared" si="14"/>
        <v>0</v>
      </c>
      <c r="P44" s="168">
        <f t="shared" si="15"/>
        <v>0</v>
      </c>
      <c r="Q44" s="168">
        <f t="shared" si="16"/>
        <v>0</v>
      </c>
      <c r="R44" s="168">
        <f>SUM((N44*$P$7)+('306'!D54*GERAL!$S$7)+('306'!D56*GERAL!$Q$7)+('306'!D53*R7)+'Trajeto Especiais Atlas'!D60)</f>
        <v>0</v>
      </c>
      <c r="S44" s="170">
        <f t="shared" si="17"/>
        <v>0</v>
      </c>
    </row>
    <row r="45" ht="24.95" customHeight="1" spans="1:19">
      <c r="B45" s="153"/>
      <c r="C45" s="153"/>
      <c r="D45" s="153"/>
      <c r="E45" s="153"/>
      <c r="F45" s="153"/>
      <c r="G45" s="153"/>
      <c r="M45" s="29" t="s">
        <v>457</v>
      </c>
      <c r="N45" s="29"/>
      <c r="O45" s="108">
        <f>SUM(O33:O44)</f>
        <v>0</v>
      </c>
      <c r="P45" s="108">
        <f t="shared" ref="P45:S45" si="18">SUM(P33:P44)</f>
        <v>0</v>
      </c>
      <c r="Q45" s="108">
        <f t="shared" si="18"/>
        <v>0</v>
      </c>
      <c r="R45" s="108">
        <f t="shared" si="18"/>
        <v>0</v>
      </c>
      <c r="S45" s="108">
        <f t="shared" si="18"/>
        <v>0</v>
      </c>
    </row>
    <row r="46" spans="1:19">
      <c r="O46" s="6"/>
    </row>
    <row r="47" ht="17.25" spans="1:19">
      <c r="A47" s="11" t="s">
        <v>434</v>
      </c>
      <c r="B47" s="13" t="s">
        <v>466</v>
      </c>
      <c r="C47" s="14"/>
      <c r="D47" s="14"/>
      <c r="E47" s="14"/>
      <c r="F47" s="14"/>
      <c r="G47" s="15"/>
      <c r="O47" s="6"/>
      <c r="P47" s="5"/>
    </row>
    <row r="48" s="38" customFormat="1" customHeight="1" spans="1:19">
      <c r="A48" s="11"/>
      <c r="B48" s="115" t="s">
        <v>467</v>
      </c>
      <c r="C48" s="116"/>
      <c r="D48" s="171" t="s">
        <v>468</v>
      </c>
      <c r="E48" s="172"/>
      <c r="F48" s="115" t="s">
        <v>335</v>
      </c>
      <c r="G48" s="116"/>
      <c r="H48" s="88"/>
      <c r="I48" s="88"/>
      <c r="J48" s="88"/>
      <c r="K48" s="88"/>
      <c r="L48" s="88"/>
      <c r="M48" s="88"/>
      <c r="O48" s="89"/>
    </row>
    <row r="49" s="38" customFormat="1" ht="24.75" customHeight="1" spans="1:16">
      <c r="A49" s="173" t="s">
        <v>469</v>
      </c>
      <c r="B49" s="174">
        <f>S28</f>
        <v>0</v>
      </c>
      <c r="C49" s="175"/>
      <c r="D49" s="174">
        <f>SUM(B49*3%)</f>
        <v>0</v>
      </c>
      <c r="E49" s="176"/>
      <c r="F49" s="174">
        <f>SUM(B49:E49)</f>
        <v>0</v>
      </c>
      <c r="G49" s="176"/>
      <c r="H49" s="88"/>
      <c r="I49" s="88"/>
      <c r="J49" s="88"/>
      <c r="K49" s="88"/>
      <c r="L49" s="88"/>
      <c r="M49" s="88"/>
      <c r="O49" s="89"/>
    </row>
    <row r="50" ht="24.75" customHeight="1" spans="1:16">
      <c r="A50" s="173" t="s">
        <v>470</v>
      </c>
      <c r="B50" s="174">
        <f>S45</f>
        <v>0</v>
      </c>
      <c r="C50" s="175"/>
      <c r="D50" s="174">
        <f>SUM(B50*3%)</f>
        <v>0</v>
      </c>
      <c r="E50" s="176"/>
      <c r="F50" s="174">
        <f>SUM(B50:E50)</f>
        <v>0</v>
      </c>
      <c r="G50" s="176"/>
      <c r="H50" s="90"/>
      <c r="I50" s="90"/>
      <c r="J50" s="90"/>
      <c r="K50" s="90"/>
      <c r="O50" s="6"/>
      <c r="P50" s="5"/>
    </row>
    <row r="51" ht="17.25" spans="1:16">
      <c r="D51" s="177" t="s">
        <v>457</v>
      </c>
      <c r="E51" s="178"/>
      <c r="F51" s="179">
        <f>SUM(F49:G50)</f>
        <v>0</v>
      </c>
      <c r="G51" s="180"/>
      <c r="O51" s="6"/>
      <c r="P51" s="5"/>
    </row>
    <row r="53" spans="1:16">
      <c r="J53" s="5" t="s">
        <v>471</v>
      </c>
    </row>
  </sheetData>
  <mergeCells count="38">
    <mergeCell ref="A1:S1"/>
    <mergeCell ref="F3:S3"/>
    <mergeCell ref="D4:F4"/>
    <mergeCell ref="G4:S4"/>
    <mergeCell ref="G5:L5"/>
    <mergeCell ref="M5:S5"/>
    <mergeCell ref="A9:S9"/>
    <mergeCell ref="B10:E10"/>
    <mergeCell ref="F10:I10"/>
    <mergeCell ref="K10:N10"/>
    <mergeCell ref="O10:R10"/>
    <mergeCell ref="M28:N28"/>
    <mergeCell ref="A30:S30"/>
    <mergeCell ref="B31:E31"/>
    <mergeCell ref="F31:J31"/>
    <mergeCell ref="K31:N31"/>
    <mergeCell ref="O31:S31"/>
    <mergeCell ref="M45:N45"/>
    <mergeCell ref="B47:G47"/>
    <mergeCell ref="B48:C48"/>
    <mergeCell ref="D48:E48"/>
    <mergeCell ref="F48:G48"/>
    <mergeCell ref="B49:C49"/>
    <mergeCell ref="D49:E49"/>
    <mergeCell ref="F49:G49"/>
    <mergeCell ref="B50:C50"/>
    <mergeCell ref="D50:E50"/>
    <mergeCell ref="F50:G50"/>
    <mergeCell ref="D51:E51"/>
    <mergeCell ref="F51:G51"/>
    <mergeCell ref="A10:A11"/>
    <mergeCell ref="A31:A32"/>
    <mergeCell ref="A47:A48"/>
    <mergeCell ref="D5:D6"/>
    <mergeCell ref="E5:E6"/>
    <mergeCell ref="F5:F6"/>
    <mergeCell ref="J10:J11"/>
    <mergeCell ref="S10:S11"/>
  </mergeCells>
  <pageMargins left="0.354330708661417" right="0.196850393700787" top="0.196850393700787" bottom="0.196850393700787" header="0.511811023622047" footer="0.511811023622047"/>
  <pageSetup paperSize="9" scale="54" orientation="landscape" horizontalDpi="360" verticalDpi="360"/>
  <headerFooter/>
  <legacyDrawing r:id="rId2"/>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2"/>
  <sheetViews>
    <sheetView topLeftCell="A36" workbookViewId="0">
      <selection activeCell="I47" sqref="I47"/>
    </sheetView>
  </sheetViews>
  <sheetFormatPr defaultColWidth="9.14285714285714" defaultRowHeight="15.75"/>
  <cols>
    <col min="1" max="1" width="51.2857142857143" style="5" customWidth="1"/>
    <col min="2" max="6" width="20.7142857142857" style="5" customWidth="1"/>
    <col min="7" max="7" width="20.7142857142857" style="6" customWidth="1"/>
    <col min="8" max="8" width="20.7142857142857" style="5" customWidth="1"/>
    <col min="9" max="11" width="9.42857142857143" style="5" customWidth="1"/>
    <col min="12" max="12" width="10.1428571428571" style="5" customWidth="1"/>
    <col min="13" max="13" width="9.14285714285714" style="5"/>
    <col min="14" max="14" width="8.57142857142857" style="5" customWidth="1"/>
    <col min="15" max="15" width="9.42857142857143" style="5" customWidth="1"/>
    <col min="16" max="16" width="8" style="5" customWidth="1"/>
    <col min="17" max="17" width="8.42857142857143" style="5" customWidth="1"/>
    <col min="18" max="18" width="8.28571428571429" style="5" customWidth="1"/>
    <col min="19" max="19" width="7" style="5" customWidth="1"/>
    <col min="20" max="16384" width="9.14285714285714" style="5"/>
  </cols>
  <sheetData>
    <row r="1" ht="27.75" customHeight="1" spans="1:9">
      <c r="A1" s="7" t="s">
        <v>472</v>
      </c>
      <c r="B1" s="7"/>
      <c r="C1" s="7"/>
      <c r="D1" s="7"/>
      <c r="E1" s="7"/>
      <c r="F1" s="7"/>
    </row>
    <row r="2" s="1" customFormat="1" ht="5.1" customHeight="1" spans="1:9">
      <c r="A2" s="8"/>
      <c r="B2" s="8"/>
      <c r="C2" s="8"/>
      <c r="D2" s="8"/>
      <c r="E2" s="8"/>
      <c r="F2" s="8"/>
      <c r="G2" s="9"/>
    </row>
    <row r="3" s="1" customFormat="1" ht="33" customHeight="1" spans="1:9">
      <c r="A3" s="91" t="s">
        <v>423</v>
      </c>
      <c r="B3" s="92"/>
      <c r="C3" s="92"/>
      <c r="D3" s="92"/>
      <c r="E3" s="92"/>
      <c r="F3" s="92"/>
      <c r="G3" s="92"/>
      <c r="H3" s="93"/>
    </row>
    <row r="4" s="1" customFormat="1" ht="24.95" customHeight="1" spans="1:9">
      <c r="A4" s="80" t="s">
        <v>434</v>
      </c>
      <c r="B4" s="94" t="s">
        <v>473</v>
      </c>
      <c r="C4" s="94"/>
      <c r="D4" s="13" t="s">
        <v>474</v>
      </c>
      <c r="E4" s="14"/>
      <c r="F4" s="14"/>
      <c r="G4" s="14"/>
      <c r="H4" s="15"/>
    </row>
    <row r="5" s="2" customFormat="1" ht="24.95" customHeight="1" spans="1:9">
      <c r="A5" s="11"/>
      <c r="B5" s="12" t="s">
        <v>475</v>
      </c>
      <c r="C5" s="11" t="s">
        <v>476</v>
      </c>
      <c r="D5" s="94" t="s">
        <v>477</v>
      </c>
      <c r="E5" s="80" t="s">
        <v>425</v>
      </c>
      <c r="F5" s="94" t="s">
        <v>441</v>
      </c>
      <c r="G5" s="94" t="s">
        <v>442</v>
      </c>
      <c r="H5" s="94" t="s">
        <v>443</v>
      </c>
    </row>
    <row r="6" ht="20.1" customHeight="1" spans="1:9">
      <c r="A6" s="84" t="s">
        <v>444</v>
      </c>
      <c r="B6" s="17" t="s">
        <v>478</v>
      </c>
      <c r="C6" s="17">
        <v>2</v>
      </c>
      <c r="D6" s="95">
        <f>SUM(E6:H6)</f>
        <v>0</v>
      </c>
      <c r="E6" s="96">
        <f>'101'!D97*GERAL!$D$7</f>
        <v>0</v>
      </c>
      <c r="F6" s="96">
        <f>'101'!D98*GERAL!$E$7</f>
        <v>0</v>
      </c>
      <c r="G6" s="96">
        <v>0</v>
      </c>
      <c r="H6" s="96">
        <f>'Trajetos Carater Especial '!G10</f>
        <v>0</v>
      </c>
      <c r="I6" s="20"/>
    </row>
    <row r="7" ht="20.1" customHeight="1" spans="1:9">
      <c r="A7" s="97"/>
      <c r="B7" s="17" t="s">
        <v>479</v>
      </c>
      <c r="C7" s="17">
        <v>2</v>
      </c>
      <c r="D7" s="95">
        <f t="shared" ref="D7:D29" si="0">SUM(E7:H7)</f>
        <v>0</v>
      </c>
      <c r="E7" s="96">
        <v>0</v>
      </c>
      <c r="F7" s="96">
        <f>'101'!D99*GERAL!$E$7</f>
        <v>0</v>
      </c>
      <c r="G7" s="96">
        <v>0</v>
      </c>
      <c r="H7" s="96">
        <v>0</v>
      </c>
      <c r="I7" s="20"/>
    </row>
    <row r="8" ht="20.1" customHeight="1" spans="1:9">
      <c r="A8" s="98" t="s">
        <v>445</v>
      </c>
      <c r="B8" s="99" t="s">
        <v>478</v>
      </c>
      <c r="C8" s="99">
        <v>4</v>
      </c>
      <c r="D8" s="100">
        <f t="shared" si="0"/>
        <v>0</v>
      </c>
      <c r="E8" s="101">
        <f>'102'!D104*GERAL!$D$7</f>
        <v>0</v>
      </c>
      <c r="F8" s="101">
        <f>'102'!D105*GERAL!$E$7</f>
        <v>0</v>
      </c>
      <c r="G8" s="101">
        <v>0</v>
      </c>
      <c r="H8" s="101">
        <f>'Trajetos Carater Especial '!G23</f>
        <v>0</v>
      </c>
    </row>
    <row r="9" ht="20.1" customHeight="1" spans="1:9">
      <c r="A9" s="102"/>
      <c r="B9" s="99" t="s">
        <v>479</v>
      </c>
      <c r="C9" s="99">
        <v>1</v>
      </c>
      <c r="D9" s="100">
        <f t="shared" si="0"/>
        <v>0</v>
      </c>
      <c r="E9" s="101">
        <v>0</v>
      </c>
      <c r="F9" s="101">
        <v>0</v>
      </c>
      <c r="G9" s="101">
        <f>'102'!D106*GERAL!$F$7</f>
        <v>0</v>
      </c>
      <c r="H9" s="101">
        <v>0</v>
      </c>
    </row>
    <row r="10" ht="20.1" customHeight="1" spans="1:9">
      <c r="A10" s="84" t="s">
        <v>446</v>
      </c>
      <c r="B10" s="17" t="s">
        <v>478</v>
      </c>
      <c r="C10" s="17">
        <v>2</v>
      </c>
      <c r="D10" s="95">
        <f t="shared" si="0"/>
        <v>0</v>
      </c>
      <c r="E10" s="96">
        <f>'103'!D78*GERAL!$D$7</f>
        <v>0</v>
      </c>
      <c r="F10" s="96">
        <f>'103'!D79*GERAL!$E$7</f>
        <v>0</v>
      </c>
      <c r="G10" s="96">
        <v>0</v>
      </c>
      <c r="H10" s="96">
        <f>'Trajetos Carater Especial '!G32</f>
        <v>0</v>
      </c>
    </row>
    <row r="11" ht="20.1" customHeight="1" spans="1:9">
      <c r="A11" s="97"/>
      <c r="B11" s="17" t="s">
        <v>479</v>
      </c>
      <c r="C11" s="17">
        <v>1</v>
      </c>
      <c r="D11" s="95">
        <f t="shared" si="0"/>
        <v>0</v>
      </c>
      <c r="E11" s="96">
        <v>0</v>
      </c>
      <c r="F11" s="96">
        <f>'103'!D80*GERAL!$E$7</f>
        <v>0</v>
      </c>
      <c r="G11" s="96">
        <v>0</v>
      </c>
      <c r="H11" s="96">
        <v>0</v>
      </c>
    </row>
    <row r="12" ht="20.1" customHeight="1" spans="1:9">
      <c r="A12" s="103" t="s">
        <v>447</v>
      </c>
      <c r="B12" s="99" t="s">
        <v>480</v>
      </c>
      <c r="C12" s="99">
        <v>1</v>
      </c>
      <c r="D12" s="100">
        <f t="shared" si="0"/>
        <v>0</v>
      </c>
      <c r="E12" s="101">
        <f>GERAL!O15</f>
        <v>0</v>
      </c>
      <c r="F12" s="101">
        <f>GERAL!P15</f>
        <v>0</v>
      </c>
      <c r="G12" s="101">
        <f>GERAL!Q15</f>
        <v>0</v>
      </c>
      <c r="H12" s="101">
        <v>0</v>
      </c>
    </row>
    <row r="13" ht="20.1" customHeight="1" spans="1:9">
      <c r="A13" s="25" t="s">
        <v>448</v>
      </c>
      <c r="B13" s="17" t="s">
        <v>478</v>
      </c>
      <c r="C13" s="17">
        <v>1</v>
      </c>
      <c r="D13" s="95">
        <f t="shared" si="0"/>
        <v>0</v>
      </c>
      <c r="E13" s="96">
        <f>GERAL!O16</f>
        <v>0</v>
      </c>
      <c r="F13" s="96">
        <f>GERAL!P16</f>
        <v>0</v>
      </c>
      <c r="G13" s="96">
        <v>0</v>
      </c>
      <c r="H13" s="96">
        <f>SUM('Trajetos Carater Especial '!H37:H41)</f>
        <v>0</v>
      </c>
    </row>
    <row r="14" ht="20.1" customHeight="1" spans="1:9">
      <c r="A14" s="103" t="s">
        <v>73</v>
      </c>
      <c r="B14" s="99" t="s">
        <v>479</v>
      </c>
      <c r="C14" s="99">
        <v>1</v>
      </c>
      <c r="D14" s="100">
        <f t="shared" si="0"/>
        <v>0</v>
      </c>
      <c r="E14" s="101">
        <f>GERAL!O17</f>
        <v>0</v>
      </c>
      <c r="F14" s="101">
        <f>GERAL!P17</f>
        <v>0</v>
      </c>
      <c r="G14" s="101">
        <f>GERAL!Q17</f>
        <v>0</v>
      </c>
      <c r="H14" s="101">
        <v>0</v>
      </c>
    </row>
    <row r="15" ht="20.1" customHeight="1" spans="1:9">
      <c r="A15" s="104" t="s">
        <v>80</v>
      </c>
      <c r="B15" s="17" t="s">
        <v>478</v>
      </c>
      <c r="C15" s="17">
        <v>1</v>
      </c>
      <c r="D15" s="95">
        <f t="shared" si="0"/>
        <v>0</v>
      </c>
      <c r="E15" s="96">
        <f>'109'!D28*GERAL!$D$7</f>
        <v>0</v>
      </c>
      <c r="F15" s="96">
        <v>0</v>
      </c>
      <c r="G15" s="96">
        <v>0</v>
      </c>
      <c r="H15" s="96">
        <v>0</v>
      </c>
    </row>
    <row r="16" ht="20.1" customHeight="1" spans="1:9">
      <c r="A16" s="105"/>
      <c r="B16" s="17" t="s">
        <v>480</v>
      </c>
      <c r="C16" s="17">
        <v>1</v>
      </c>
      <c r="D16" s="95">
        <f t="shared" si="0"/>
        <v>0</v>
      </c>
      <c r="E16" s="96">
        <f>'109'!F28*GERAL!$D$7</f>
        <v>0</v>
      </c>
      <c r="F16" s="96">
        <v>0</v>
      </c>
      <c r="G16" s="96">
        <v>0</v>
      </c>
      <c r="H16" s="96">
        <v>0</v>
      </c>
    </row>
    <row r="17" ht="20.1" customHeight="1" spans="1:8">
      <c r="A17" s="103" t="s">
        <v>449</v>
      </c>
      <c r="B17" s="99" t="s">
        <v>478</v>
      </c>
      <c r="C17" s="99">
        <v>1</v>
      </c>
      <c r="D17" s="100">
        <f t="shared" si="0"/>
        <v>0</v>
      </c>
      <c r="E17" s="101">
        <f>GERAL!O19</f>
        <v>0</v>
      </c>
      <c r="F17" s="101">
        <f>GERAL!P19</f>
        <v>0</v>
      </c>
      <c r="G17" s="101">
        <v>0</v>
      </c>
      <c r="H17" s="101">
        <f>'Trajetos Carater Especial '!G54</f>
        <v>0</v>
      </c>
    </row>
    <row r="18" ht="20.1" customHeight="1" spans="1:8">
      <c r="A18" s="16" t="s">
        <v>450</v>
      </c>
      <c r="B18" s="17" t="s">
        <v>479</v>
      </c>
      <c r="C18" s="17">
        <v>1</v>
      </c>
      <c r="D18" s="95">
        <f t="shared" si="0"/>
        <v>0</v>
      </c>
      <c r="E18" s="96">
        <f>GERAL!O20</f>
        <v>0</v>
      </c>
      <c r="F18" s="96">
        <f>GERAL!P20</f>
        <v>0</v>
      </c>
      <c r="G18" s="96">
        <f>GERAL!Q20</f>
        <v>0</v>
      </c>
      <c r="H18" s="96">
        <v>0</v>
      </c>
    </row>
    <row r="19" ht="20.1" customHeight="1" spans="1:8">
      <c r="A19" s="103" t="s">
        <v>451</v>
      </c>
      <c r="B19" s="99" t="s">
        <v>478</v>
      </c>
      <c r="C19" s="99">
        <v>1</v>
      </c>
      <c r="D19" s="100">
        <f t="shared" si="0"/>
        <v>0</v>
      </c>
      <c r="E19" s="101">
        <f>GERAL!O21</f>
        <v>0</v>
      </c>
      <c r="F19" s="101">
        <f>GERAL!P21</f>
        <v>0</v>
      </c>
      <c r="G19" s="101">
        <v>0</v>
      </c>
      <c r="H19" s="101">
        <f>'Trajetos Carater Especial '!G65</f>
        <v>0</v>
      </c>
    </row>
    <row r="20" ht="20.1" customHeight="1" spans="1:8">
      <c r="A20" s="84" t="s">
        <v>452</v>
      </c>
      <c r="B20" s="17" t="s">
        <v>478</v>
      </c>
      <c r="C20" s="17">
        <v>2</v>
      </c>
      <c r="D20" s="95">
        <f t="shared" si="0"/>
        <v>0</v>
      </c>
      <c r="E20" s="96">
        <f>'113'!D88*GERAL!$D$7</f>
        <v>0</v>
      </c>
      <c r="F20" s="96">
        <f>'113'!D89*GERAL!$E$7</f>
        <v>0</v>
      </c>
      <c r="G20" s="96">
        <v>0</v>
      </c>
      <c r="H20" s="96">
        <f>'Trajetos Carater Especial '!G73</f>
        <v>0</v>
      </c>
    </row>
    <row r="21" ht="20.1" customHeight="1" spans="1:8">
      <c r="A21" s="97"/>
      <c r="B21" s="17" t="s">
        <v>479</v>
      </c>
      <c r="C21" s="17">
        <v>1</v>
      </c>
      <c r="D21" s="95">
        <f t="shared" si="0"/>
        <v>0</v>
      </c>
      <c r="E21" s="96">
        <f>'113'!G90*GERAL!$D$7</f>
        <v>0</v>
      </c>
      <c r="F21" s="96">
        <f>'113'!D90*GERAL!$E$7</f>
        <v>0</v>
      </c>
      <c r="G21" s="96">
        <f>'113'!D92*GERAL!F7</f>
        <v>0</v>
      </c>
      <c r="H21" s="96">
        <v>0</v>
      </c>
    </row>
    <row r="22" ht="20.1" customHeight="1" spans="1:8">
      <c r="A22" s="106" t="s">
        <v>453</v>
      </c>
      <c r="B22" s="99" t="s">
        <v>478</v>
      </c>
      <c r="C22" s="99">
        <v>1</v>
      </c>
      <c r="D22" s="100">
        <f t="shared" si="0"/>
        <v>0</v>
      </c>
      <c r="E22" s="101">
        <f>'114'!D71*GERAL!$D$7</f>
        <v>0</v>
      </c>
      <c r="F22" s="101">
        <f>'114'!D72*GERAL!$E$7</f>
        <v>0</v>
      </c>
      <c r="G22" s="101">
        <v>0</v>
      </c>
      <c r="H22" s="101">
        <v>0</v>
      </c>
    </row>
    <row r="23" ht="20.1" customHeight="1" spans="1:8">
      <c r="A23" s="107"/>
      <c r="B23" s="99" t="s">
        <v>479</v>
      </c>
      <c r="C23" s="99">
        <v>1</v>
      </c>
      <c r="D23" s="100">
        <f t="shared" si="0"/>
        <v>0</v>
      </c>
      <c r="E23" s="101">
        <f>'114'!G71*GERAL!$D$7</f>
        <v>0</v>
      </c>
      <c r="F23" s="101">
        <f>'114'!G72*GERAL!$E$7</f>
        <v>0</v>
      </c>
      <c r="G23" s="101">
        <v>0</v>
      </c>
      <c r="H23" s="101">
        <v>0</v>
      </c>
    </row>
    <row r="24" ht="20.1" customHeight="1" spans="1:8">
      <c r="A24" s="16" t="s">
        <v>454</v>
      </c>
      <c r="B24" s="17" t="s">
        <v>478</v>
      </c>
      <c r="C24" s="17">
        <v>1</v>
      </c>
      <c r="D24" s="95">
        <f t="shared" si="0"/>
        <v>0</v>
      </c>
      <c r="E24" s="96">
        <f>GERAL!O24</f>
        <v>0</v>
      </c>
      <c r="F24" s="96">
        <f>GERAL!P24</f>
        <v>0</v>
      </c>
      <c r="G24" s="96">
        <f>GERAL!Q24</f>
        <v>0</v>
      </c>
      <c r="H24" s="96">
        <v>0</v>
      </c>
    </row>
    <row r="25" ht="20.1" customHeight="1" spans="1:8">
      <c r="A25" s="103" t="s">
        <v>455</v>
      </c>
      <c r="B25" s="99" t="s">
        <v>478</v>
      </c>
      <c r="C25" s="99">
        <v>1</v>
      </c>
      <c r="D25" s="100">
        <f t="shared" si="0"/>
        <v>0</v>
      </c>
      <c r="E25" s="101">
        <f>GERAL!O25</f>
        <v>0</v>
      </c>
      <c r="F25" s="101">
        <f>GERAL!P25</f>
        <v>0</v>
      </c>
      <c r="G25" s="101">
        <f>GERAL!Q25</f>
        <v>0</v>
      </c>
      <c r="H25" s="101">
        <v>0</v>
      </c>
    </row>
    <row r="26" ht="20.1" customHeight="1" spans="1:8">
      <c r="A26" s="16" t="s">
        <v>168</v>
      </c>
      <c r="B26" s="17" t="s">
        <v>480</v>
      </c>
      <c r="C26" s="17">
        <v>1</v>
      </c>
      <c r="D26" s="95">
        <f t="shared" si="0"/>
        <v>0</v>
      </c>
      <c r="E26" s="96">
        <f>GERAL!O26</f>
        <v>0</v>
      </c>
      <c r="F26" s="96">
        <f>GERAL!P26</f>
        <v>0</v>
      </c>
      <c r="G26" s="96">
        <f>GERAL!Q26</f>
        <v>0</v>
      </c>
      <c r="H26" s="96">
        <v>0</v>
      </c>
    </row>
    <row r="27" ht="24.95" customHeight="1" spans="1:8">
      <c r="A27" s="16" t="s">
        <v>456</v>
      </c>
      <c r="B27" s="17" t="s">
        <v>479</v>
      </c>
      <c r="C27" s="17">
        <v>2</v>
      </c>
      <c r="D27" s="95">
        <f t="shared" si="0"/>
        <v>0</v>
      </c>
      <c r="E27" s="96">
        <f>GERAL!O27</f>
        <v>0</v>
      </c>
      <c r="F27" s="96">
        <f>GERAL!P27</f>
        <v>0</v>
      </c>
      <c r="G27" s="96">
        <f>GERAL!Q27</f>
        <v>0</v>
      </c>
      <c r="H27" s="96">
        <f>'Trajetos Carater Especial '!G108</f>
        <v>0</v>
      </c>
    </row>
    <row r="28" ht="24.95" customHeight="1" spans="1:8">
      <c r="B28" s="29" t="s">
        <v>457</v>
      </c>
      <c r="C28" s="29"/>
      <c r="D28" s="108">
        <f>SUM(D6:D27)</f>
        <v>0</v>
      </c>
      <c r="E28" s="108">
        <f>SUM(E6:E26)</f>
        <v>0</v>
      </c>
      <c r="F28" s="108">
        <f>SUM(F6:F26)</f>
        <v>0</v>
      </c>
      <c r="G28" s="108">
        <f>SUM(G6:G27)</f>
        <v>0</v>
      </c>
      <c r="H28" s="108">
        <f>SUM(H6:H26)</f>
        <v>0</v>
      </c>
    </row>
    <row r="29" s="1" customFormat="1" ht="5.1" customHeight="1" spans="1:8">
      <c r="A29" s="8"/>
      <c r="B29" s="8"/>
      <c r="C29" s="8"/>
      <c r="D29" s="8"/>
      <c r="E29" s="8"/>
      <c r="F29" s="8"/>
      <c r="G29" s="9"/>
    </row>
    <row r="30" s="1" customFormat="1" ht="33" customHeight="1" spans="1:8">
      <c r="A30" s="91" t="s">
        <v>424</v>
      </c>
      <c r="B30" s="92"/>
      <c r="C30" s="92"/>
      <c r="D30" s="92"/>
      <c r="E30" s="92"/>
      <c r="F30" s="92"/>
      <c r="G30" s="92"/>
      <c r="H30" s="93"/>
    </row>
    <row r="31" s="1" customFormat="1" ht="24.95" customHeight="1" spans="1:8">
      <c r="A31" s="80" t="s">
        <v>434</v>
      </c>
      <c r="B31" s="94" t="s">
        <v>473</v>
      </c>
      <c r="C31" s="94"/>
      <c r="D31" s="13" t="s">
        <v>474</v>
      </c>
      <c r="E31" s="14"/>
      <c r="F31" s="14"/>
      <c r="G31" s="14"/>
      <c r="H31" s="15"/>
    </row>
    <row r="32" s="2" customFormat="1" ht="24.95" customHeight="1" spans="1:8">
      <c r="A32" s="11"/>
      <c r="B32" s="12" t="s">
        <v>475</v>
      </c>
      <c r="C32" s="11" t="s">
        <v>476</v>
      </c>
      <c r="D32" s="94" t="s">
        <v>477</v>
      </c>
      <c r="E32" s="80" t="s">
        <v>425</v>
      </c>
      <c r="F32" s="94" t="s">
        <v>441</v>
      </c>
      <c r="G32" s="94" t="s">
        <v>442</v>
      </c>
      <c r="H32" s="94" t="s">
        <v>443</v>
      </c>
    </row>
    <row r="33" ht="20.1" customHeight="1" spans="1:10">
      <c r="A33" s="16" t="s">
        <v>200</v>
      </c>
      <c r="B33" s="31" t="s">
        <v>478</v>
      </c>
      <c r="C33" s="32">
        <v>1</v>
      </c>
      <c r="D33" s="95">
        <f>SUM(E33:H33)</f>
        <v>0</v>
      </c>
      <c r="E33" s="96">
        <f>GERAL!O33</f>
        <v>0</v>
      </c>
      <c r="F33" s="109">
        <f>GERAL!P33</f>
        <v>0</v>
      </c>
      <c r="G33" s="109">
        <f>GERAL!Q33</f>
        <v>0</v>
      </c>
      <c r="H33" s="109">
        <f>GERAL!R33</f>
        <v>0</v>
      </c>
    </row>
    <row r="34" ht="20.1" customHeight="1" spans="1:10">
      <c r="A34" s="103" t="s">
        <v>209</v>
      </c>
      <c r="B34" s="110" t="s">
        <v>478</v>
      </c>
      <c r="C34" s="111">
        <v>1</v>
      </c>
      <c r="D34" s="100">
        <f>SUM(E34:H34)</f>
        <v>0</v>
      </c>
      <c r="E34" s="101">
        <f>GERAL!O34</f>
        <v>0</v>
      </c>
      <c r="F34" s="112">
        <f>GERAL!P34</f>
        <v>0</v>
      </c>
      <c r="G34" s="112">
        <f>GERAL!Q34</f>
        <v>0</v>
      </c>
      <c r="H34" s="112">
        <f>GERAL!R34</f>
        <v>0</v>
      </c>
    </row>
    <row r="35" ht="20.1" customHeight="1" spans="1:10">
      <c r="A35" s="16" t="s">
        <v>459</v>
      </c>
      <c r="B35" s="31" t="s">
        <v>478</v>
      </c>
      <c r="C35" s="32">
        <v>1</v>
      </c>
      <c r="D35" s="95">
        <f>SUM(E35:H35)</f>
        <v>0</v>
      </c>
      <c r="E35" s="96">
        <f>GERAL!O35</f>
        <v>0</v>
      </c>
      <c r="F35" s="109">
        <f>GERAL!P35</f>
        <v>0</v>
      </c>
      <c r="G35" s="109">
        <f>GERAL!Q35</f>
        <v>0</v>
      </c>
      <c r="H35" s="109">
        <f>GERAL!R35</f>
        <v>0</v>
      </c>
    </row>
    <row r="36" ht="20.1" customHeight="1" spans="1:10">
      <c r="A36" s="106" t="s">
        <v>460</v>
      </c>
      <c r="B36" s="110" t="s">
        <v>478</v>
      </c>
      <c r="C36" s="111">
        <v>1</v>
      </c>
      <c r="D36" s="100">
        <f>SUM(E36:H36)</f>
        <v>0</v>
      </c>
      <c r="E36" s="101">
        <f>'206'!D54*GERAL!G7</f>
        <v>0</v>
      </c>
      <c r="F36" s="112">
        <f>GERAL!P36</f>
        <v>0</v>
      </c>
      <c r="G36" s="112">
        <f>GERAL!Q36</f>
        <v>0</v>
      </c>
      <c r="H36" s="112">
        <f>GERAL!R36</f>
        <v>0</v>
      </c>
    </row>
    <row r="37" ht="20.1" customHeight="1" spans="1:10">
      <c r="A37" s="107"/>
      <c r="B37" s="110" t="s">
        <v>480</v>
      </c>
      <c r="C37" s="111">
        <v>1</v>
      </c>
      <c r="D37" s="100">
        <f>SUM(E37:H37)</f>
        <v>0</v>
      </c>
      <c r="E37" s="101">
        <f>'206'!F54*GERAL!G7</f>
        <v>0</v>
      </c>
      <c r="F37" s="112">
        <v>0</v>
      </c>
      <c r="G37" s="112">
        <v>0</v>
      </c>
      <c r="H37" s="112">
        <v>0</v>
      </c>
      <c r="J37" s="20"/>
    </row>
    <row r="38" ht="20.1" customHeight="1" spans="1:10">
      <c r="A38" s="16" t="s">
        <v>461</v>
      </c>
      <c r="B38" s="31" t="s">
        <v>478</v>
      </c>
      <c r="C38" s="32">
        <v>1</v>
      </c>
      <c r="D38" s="95">
        <f t="shared" ref="D38:D45" si="1">SUM(E38:H38)</f>
        <v>0</v>
      </c>
      <c r="E38" s="96">
        <f>GERAL!O37</f>
        <v>0</v>
      </c>
      <c r="F38" s="109">
        <f>GERAL!P37</f>
        <v>0</v>
      </c>
      <c r="G38" s="109">
        <f>GERAL!Q37</f>
        <v>0</v>
      </c>
      <c r="H38" s="109">
        <f>GERAL!R37</f>
        <v>0</v>
      </c>
      <c r="J38" s="20"/>
    </row>
    <row r="39" ht="20.1" customHeight="1" spans="1:10">
      <c r="A39" s="103" t="s">
        <v>481</v>
      </c>
      <c r="B39" s="110" t="s">
        <v>478</v>
      </c>
      <c r="C39" s="111">
        <v>1</v>
      </c>
      <c r="D39" s="100">
        <f t="shared" si="1"/>
        <v>0</v>
      </c>
      <c r="E39" s="101">
        <f>GERAL!O38</f>
        <v>0</v>
      </c>
      <c r="F39" s="112">
        <f>GERAL!P38</f>
        <v>0</v>
      </c>
      <c r="G39" s="112">
        <f>GERAL!Q38</f>
        <v>0</v>
      </c>
      <c r="H39" s="112">
        <f>GERAL!R38</f>
        <v>0</v>
      </c>
    </row>
    <row r="40" ht="20.1" customHeight="1" spans="1:10">
      <c r="A40" s="16" t="s">
        <v>263</v>
      </c>
      <c r="B40" s="31" t="s">
        <v>478</v>
      </c>
      <c r="C40" s="32">
        <v>1</v>
      </c>
      <c r="D40" s="95">
        <f t="shared" si="1"/>
        <v>0</v>
      </c>
      <c r="E40" s="96">
        <f>GERAL!O39</f>
        <v>0</v>
      </c>
      <c r="F40" s="109">
        <f>GERAL!P39</f>
        <v>0</v>
      </c>
      <c r="G40" s="109">
        <f>GERAL!Q39</f>
        <v>0</v>
      </c>
      <c r="H40" s="109">
        <f>GERAL!R39</f>
        <v>0</v>
      </c>
    </row>
    <row r="41" ht="20.1" customHeight="1" spans="1:10">
      <c r="A41" s="103" t="s">
        <v>463</v>
      </c>
      <c r="B41" s="110" t="s">
        <v>478</v>
      </c>
      <c r="C41" s="111">
        <v>1</v>
      </c>
      <c r="D41" s="100">
        <f t="shared" si="1"/>
        <v>0</v>
      </c>
      <c r="E41" s="101">
        <f>GERAL!O40</f>
        <v>0</v>
      </c>
      <c r="F41" s="112">
        <f>GERAL!P40</f>
        <v>0</v>
      </c>
      <c r="G41" s="112">
        <f>GERAL!Q40</f>
        <v>0</v>
      </c>
      <c r="H41" s="112">
        <f>GERAL!R40</f>
        <v>0</v>
      </c>
    </row>
    <row r="42" ht="20.1" customHeight="1" spans="1:10">
      <c r="A42" s="16" t="s">
        <v>464</v>
      </c>
      <c r="B42" s="31" t="s">
        <v>478</v>
      </c>
      <c r="C42" s="32">
        <v>1</v>
      </c>
      <c r="D42" s="95">
        <f t="shared" si="1"/>
        <v>0</v>
      </c>
      <c r="E42" s="96">
        <f>GERAL!O41</f>
        <v>0</v>
      </c>
      <c r="F42" s="109">
        <f>GERAL!P41</f>
        <v>0</v>
      </c>
      <c r="G42" s="109">
        <f>GERAL!Q41</f>
        <v>0</v>
      </c>
      <c r="H42" s="109">
        <f>GERAL!R41</f>
        <v>0</v>
      </c>
    </row>
    <row r="43" ht="20.1" customHeight="1" spans="1:10">
      <c r="A43" s="103" t="s">
        <v>293</v>
      </c>
      <c r="B43" s="110" t="s">
        <v>478</v>
      </c>
      <c r="C43" s="111">
        <v>1</v>
      </c>
      <c r="D43" s="100">
        <f t="shared" si="1"/>
        <v>0</v>
      </c>
      <c r="E43" s="101">
        <f>GERAL!O42</f>
        <v>0</v>
      </c>
      <c r="F43" s="112">
        <f>GERAL!P42</f>
        <v>0</v>
      </c>
      <c r="G43" s="112">
        <f>GERAL!Q42</f>
        <v>0</v>
      </c>
      <c r="H43" s="112">
        <f>GERAL!R42</f>
        <v>0</v>
      </c>
    </row>
    <row r="44" ht="20.1" customHeight="1" spans="1:10">
      <c r="A44" s="16" t="s">
        <v>304</v>
      </c>
      <c r="B44" s="31" t="s">
        <v>478</v>
      </c>
      <c r="C44" s="32">
        <v>1</v>
      </c>
      <c r="D44" s="95">
        <f t="shared" si="1"/>
        <v>0</v>
      </c>
      <c r="E44" s="96">
        <f>GERAL!O43</f>
        <v>0</v>
      </c>
      <c r="F44" s="109">
        <f>GERAL!P43</f>
        <v>0</v>
      </c>
      <c r="G44" s="109">
        <f>GERAL!Q43</f>
        <v>0</v>
      </c>
      <c r="H44" s="109">
        <f>GERAL!R43</f>
        <v>0</v>
      </c>
    </row>
    <row r="45" ht="20.1" customHeight="1" spans="1:10">
      <c r="A45" s="103" t="s">
        <v>465</v>
      </c>
      <c r="B45" s="110" t="s">
        <v>478</v>
      </c>
      <c r="C45" s="111">
        <v>1</v>
      </c>
      <c r="D45" s="100">
        <f t="shared" si="1"/>
        <v>0</v>
      </c>
      <c r="E45" s="101">
        <f>GERAL!O44</f>
        <v>0</v>
      </c>
      <c r="F45" s="112">
        <f>GERAL!P44</f>
        <v>0</v>
      </c>
      <c r="G45" s="112">
        <f>GERAL!Q44</f>
        <v>0</v>
      </c>
      <c r="H45" s="112">
        <f>GERAL!R44</f>
        <v>0</v>
      </c>
    </row>
    <row r="46" ht="24.95" customHeight="1" spans="1:10">
      <c r="B46" s="35" t="s">
        <v>457</v>
      </c>
      <c r="C46" s="36"/>
      <c r="D46" s="113">
        <f>SUM(D33:D45)</f>
        <v>0</v>
      </c>
      <c r="E46" s="113">
        <f>SUM(E33:E45)</f>
        <v>0</v>
      </c>
      <c r="F46" s="114">
        <f>SUM(F33:F45)</f>
        <v>0</v>
      </c>
      <c r="G46" s="114">
        <f>SUM(G33:G45)</f>
        <v>0</v>
      </c>
      <c r="H46" s="114">
        <f>SUM(H33:H45)</f>
        <v>0</v>
      </c>
    </row>
    <row r="48" spans="1:10">
      <c r="H48" s="38"/>
    </row>
    <row r="49" ht="20.1" customHeight="1" spans="1:7">
      <c r="A49" s="11" t="s">
        <v>434</v>
      </c>
      <c r="B49" s="13" t="s">
        <v>482</v>
      </c>
      <c r="C49" s="15"/>
      <c r="D49" s="11" t="s">
        <v>466</v>
      </c>
      <c r="E49" s="11"/>
      <c r="F49" s="11"/>
      <c r="G49" s="5"/>
    </row>
    <row r="50" s="3" customFormat="1" ht="20.1" customHeight="1" spans="1:7">
      <c r="A50" s="11"/>
      <c r="B50" s="115" t="s">
        <v>475</v>
      </c>
      <c r="C50" s="116"/>
      <c r="D50" s="42" t="s">
        <v>467</v>
      </c>
      <c r="E50" s="43" t="s">
        <v>468</v>
      </c>
      <c r="F50" s="42" t="s">
        <v>335</v>
      </c>
    </row>
    <row r="51" s="3" customFormat="1" ht="20.1" customHeight="1" spans="1:7">
      <c r="A51" s="45" t="s">
        <v>469</v>
      </c>
      <c r="B51" s="117" t="s">
        <v>478</v>
      </c>
      <c r="C51" s="118"/>
      <c r="D51" s="119">
        <f>SUM(D6,D8,D10,D13,D15,D17,D19,D20,D22,D24,D25)</f>
        <v>0</v>
      </c>
      <c r="E51" s="119">
        <f>D51*3%</f>
        <v>0</v>
      </c>
      <c r="F51" s="119">
        <f>SUM(D51:E51)</f>
        <v>0</v>
      </c>
    </row>
    <row r="52" s="3" customFormat="1" ht="20.1" customHeight="1" spans="1:7">
      <c r="A52" s="45"/>
      <c r="B52" s="117" t="s">
        <v>479</v>
      </c>
      <c r="C52" s="118"/>
      <c r="D52" s="119">
        <f>SUM(D7,D9,D11,D14,D18,D21,D23,D27)</f>
        <v>0</v>
      </c>
      <c r="E52" s="120">
        <f t="shared" ref="E52:E57" si="2">D52*3%</f>
        <v>0</v>
      </c>
      <c r="F52" s="119">
        <f t="shared" ref="F52:F57" si="3">SUM(D52:E52)</f>
        <v>0</v>
      </c>
    </row>
    <row r="53" s="3" customFormat="1" ht="20.1" customHeight="1" spans="1:7">
      <c r="A53" s="50"/>
      <c r="B53" s="117" t="s">
        <v>480</v>
      </c>
      <c r="C53" s="118"/>
      <c r="D53" s="121">
        <f>SUM(D12,D16,D26)</f>
        <v>0</v>
      </c>
      <c r="E53" s="122">
        <f t="shared" si="2"/>
        <v>0</v>
      </c>
      <c r="F53" s="121">
        <f t="shared" si="3"/>
        <v>0</v>
      </c>
    </row>
    <row r="54" s="4" customFormat="1" ht="24.95" customHeight="1" spans="1:7">
      <c r="A54" s="53"/>
      <c r="B54" s="123" t="s">
        <v>335</v>
      </c>
      <c r="C54" s="124"/>
      <c r="D54" s="125">
        <f>SUM(D51:D53)</f>
        <v>0</v>
      </c>
      <c r="E54" s="125">
        <f t="shared" ref="E54:F54" si="4">SUM(E51:E53)</f>
        <v>0</v>
      </c>
      <c r="F54" s="125">
        <f t="shared" si="4"/>
        <v>0</v>
      </c>
    </row>
    <row r="55" s="3" customFormat="1" ht="20.1" customHeight="1" spans="1:7">
      <c r="A55" s="45" t="s">
        <v>470</v>
      </c>
      <c r="B55" s="117" t="s">
        <v>478</v>
      </c>
      <c r="C55" s="118"/>
      <c r="D55" s="126">
        <f>SUM(D33,D34,D35,D36,D38,D39,D40,D41,D42,D43,D44,D45)</f>
        <v>0</v>
      </c>
      <c r="E55" s="127">
        <f t="shared" si="2"/>
        <v>0</v>
      </c>
      <c r="F55" s="126">
        <f t="shared" si="3"/>
        <v>0</v>
      </c>
    </row>
    <row r="56" s="3" customFormat="1" ht="20.1" customHeight="1" spans="1:7">
      <c r="A56" s="45"/>
      <c r="B56" s="117" t="s">
        <v>479</v>
      </c>
      <c r="C56" s="118"/>
      <c r="D56" s="120">
        <v>0</v>
      </c>
      <c r="E56" s="120">
        <f t="shared" si="2"/>
        <v>0</v>
      </c>
      <c r="F56" s="120">
        <f t="shared" si="3"/>
        <v>0</v>
      </c>
    </row>
    <row r="57" s="3" customFormat="1" ht="20.1" customHeight="1" spans="1:7">
      <c r="A57" s="45"/>
      <c r="B57" s="117" t="s">
        <v>480</v>
      </c>
      <c r="C57" s="118"/>
      <c r="D57" s="122">
        <f>D37</f>
        <v>0</v>
      </c>
      <c r="E57" s="122">
        <f t="shared" si="2"/>
        <v>0</v>
      </c>
      <c r="F57" s="122">
        <f t="shared" si="3"/>
        <v>0</v>
      </c>
    </row>
    <row r="58" s="4" customFormat="1" ht="24.95" customHeight="1" spans="1:7">
      <c r="A58" s="53"/>
      <c r="B58" s="123" t="s">
        <v>335</v>
      </c>
      <c r="C58" s="124"/>
      <c r="D58" s="125">
        <f>SUM(D55:D57)</f>
        <v>0</v>
      </c>
      <c r="E58" s="125">
        <f t="shared" ref="E58" si="5">SUM(E55:E57)</f>
        <v>0</v>
      </c>
      <c r="F58" s="125">
        <f t="shared" ref="F58" si="6">SUM(F55:F57)</f>
        <v>0</v>
      </c>
    </row>
    <row r="59" ht="5.1" customHeight="1" spans="1:7">
      <c r="E59" s="6"/>
      <c r="G59" s="5"/>
    </row>
    <row r="60" s="4" customFormat="1" ht="24.95" customHeight="1" spans="1:7">
      <c r="A60" s="61"/>
      <c r="B60" s="128" t="s">
        <v>483</v>
      </c>
      <c r="C60" s="129"/>
      <c r="D60" s="130">
        <f t="shared" ref="D60:F60" si="7">SUM(D58,D54)</f>
        <v>0</v>
      </c>
      <c r="E60" s="130">
        <f t="shared" si="7"/>
        <v>0</v>
      </c>
      <c r="F60" s="130">
        <f t="shared" si="7"/>
        <v>0</v>
      </c>
    </row>
    <row r="62" spans="1:7">
      <c r="D62" s="131"/>
    </row>
  </sheetData>
  <mergeCells count="33">
    <mergeCell ref="A1:F1"/>
    <mergeCell ref="A3:H3"/>
    <mergeCell ref="B4:C4"/>
    <mergeCell ref="D4:H4"/>
    <mergeCell ref="B28:C28"/>
    <mergeCell ref="A30:H30"/>
    <mergeCell ref="B31:C31"/>
    <mergeCell ref="D31:H31"/>
    <mergeCell ref="B46:C46"/>
    <mergeCell ref="B49:C49"/>
    <mergeCell ref="D49:F49"/>
    <mergeCell ref="B50:C50"/>
    <mergeCell ref="B51:C51"/>
    <mergeCell ref="B52:C52"/>
    <mergeCell ref="B53:C53"/>
    <mergeCell ref="B54:C54"/>
    <mergeCell ref="B55:C55"/>
    <mergeCell ref="B56:C56"/>
    <mergeCell ref="B57:C57"/>
    <mergeCell ref="B58:C58"/>
    <mergeCell ref="B60:C60"/>
    <mergeCell ref="A4:A5"/>
    <mergeCell ref="A6:A7"/>
    <mergeCell ref="A8:A9"/>
    <mergeCell ref="A10:A11"/>
    <mergeCell ref="A15:A16"/>
    <mergeCell ref="A20:A21"/>
    <mergeCell ref="A22:A23"/>
    <mergeCell ref="A31:A32"/>
    <mergeCell ref="A36:A37"/>
    <mergeCell ref="A49:A50"/>
    <mergeCell ref="A51:A53"/>
    <mergeCell ref="A55:A57"/>
  </mergeCells>
  <pageMargins left="0.511811024" right="0.511811024" top="0.787401575" bottom="0.787401575" header="0.31496062" footer="0.31496062"/>
  <pageSetup paperSize="9" orientation="portrait" horizontalDpi="360" verticalDpi="360"/>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M46"/>
  <sheetViews>
    <sheetView topLeftCell="A16" workbookViewId="0">
      <selection activeCell="K27" sqref="K27"/>
    </sheetView>
  </sheetViews>
  <sheetFormatPr defaultColWidth="9.14285714285714" defaultRowHeight="15.75"/>
  <cols>
    <col min="1" max="1" width="54.1428571428571" style="5" customWidth="1"/>
    <col min="2" max="8" width="15.7142857142857" style="5" customWidth="1"/>
    <col min="9" max="9" width="13.4285714285714" style="6" customWidth="1"/>
    <col min="10" max="10" width="12.8571428571429" style="5" customWidth="1"/>
    <col min="11" max="12" width="12.2857142857143" style="5" customWidth="1"/>
    <col min="13" max="13" width="9.42857142857143" style="5" customWidth="1"/>
    <col min="14" max="14" width="10.1428571428571" style="5" customWidth="1"/>
    <col min="15" max="15" width="9.14285714285714" style="5"/>
    <col min="16" max="16" width="8.57142857142857" style="5" customWidth="1"/>
    <col min="17" max="17" width="9.42857142857143" style="5" customWidth="1"/>
    <col min="18" max="18" width="8" style="5" customWidth="1"/>
    <col min="19" max="19" width="8.42857142857143" style="5" customWidth="1"/>
    <col min="20" max="20" width="8.28571428571429" style="5" customWidth="1"/>
    <col min="21" max="21" width="7" style="5" customWidth="1"/>
    <col min="22" max="16384" width="9.14285714285714" style="5"/>
  </cols>
  <sheetData>
    <row r="1" ht="27.75" customHeight="1" spans="1:10">
      <c r="A1" s="7" t="s">
        <v>484</v>
      </c>
      <c r="B1" s="7"/>
      <c r="C1" s="7"/>
      <c r="D1" s="7"/>
      <c r="E1" s="7"/>
      <c r="F1" s="7"/>
      <c r="G1" s="7"/>
      <c r="H1" s="7"/>
    </row>
    <row r="2" ht="5.1" customHeight="1" spans="1:10">
      <c r="A2" s="7"/>
      <c r="B2" s="7"/>
      <c r="C2" s="7"/>
      <c r="D2" s="7"/>
      <c r="E2" s="7"/>
      <c r="F2" s="7"/>
      <c r="G2" s="7"/>
      <c r="H2" s="7"/>
    </row>
    <row r="3" ht="27.75" customHeight="1" spans="1:10">
      <c r="C3" s="65"/>
      <c r="D3" s="65"/>
      <c r="E3" s="66"/>
      <c r="F3" s="67" t="s">
        <v>485</v>
      </c>
      <c r="G3" s="68"/>
      <c r="H3" s="69"/>
    </row>
    <row r="4" ht="27.75" customHeight="1" spans="1:10">
      <c r="C4" s="70"/>
      <c r="D4" s="70"/>
      <c r="E4" s="71"/>
      <c r="F4" s="72" t="s">
        <v>486</v>
      </c>
      <c r="G4" s="73"/>
      <c r="H4" s="74"/>
    </row>
    <row r="5" ht="36.75" customHeight="1" spans="1:10">
      <c r="D5" s="6"/>
      <c r="F5" s="75" t="s">
        <v>425</v>
      </c>
      <c r="G5" s="75" t="s">
        <v>426</v>
      </c>
      <c r="H5" s="75" t="s">
        <v>442</v>
      </c>
      <c r="I5" s="5"/>
    </row>
    <row r="6" ht="27.75" customHeight="1" spans="1:10">
      <c r="D6" s="6"/>
      <c r="F6" s="76">
        <v>21</v>
      </c>
      <c r="G6" s="76">
        <v>4</v>
      </c>
      <c r="H6" s="76">
        <v>5</v>
      </c>
      <c r="I6" s="5"/>
    </row>
    <row r="7" s="1" customFormat="1" ht="5.1" customHeight="1" spans="1:10">
      <c r="A7" s="8"/>
      <c r="B7" s="8"/>
      <c r="C7" s="8"/>
      <c r="D7" s="8"/>
      <c r="E7" s="8"/>
      <c r="I7" s="9"/>
    </row>
    <row r="8" s="2" customFormat="1" ht="31.5" customHeight="1" spans="1:10">
      <c r="A8" s="77" t="s">
        <v>434</v>
      </c>
      <c r="B8" s="13" t="s">
        <v>487</v>
      </c>
      <c r="C8" s="14"/>
      <c r="D8" s="15"/>
      <c r="E8" s="13" t="s">
        <v>488</v>
      </c>
      <c r="F8" s="14"/>
      <c r="G8" s="15"/>
      <c r="H8" s="78" t="s">
        <v>489</v>
      </c>
      <c r="I8" s="79"/>
    </row>
    <row r="9" s="2" customFormat="1" ht="17.25" spans="1:10">
      <c r="A9" s="80"/>
      <c r="B9" s="11" t="s">
        <v>425</v>
      </c>
      <c r="C9" s="11" t="s">
        <v>441</v>
      </c>
      <c r="D9" s="11" t="s">
        <v>442</v>
      </c>
      <c r="E9" s="80" t="s">
        <v>425</v>
      </c>
      <c r="F9" s="81" t="s">
        <v>441</v>
      </c>
      <c r="G9" s="82" t="s">
        <v>442</v>
      </c>
      <c r="H9" s="81"/>
      <c r="I9" s="79"/>
    </row>
    <row r="10" ht="20.1" customHeight="1" spans="1:10">
      <c r="A10" s="16" t="s">
        <v>444</v>
      </c>
      <c r="B10" s="19" t="e">
        <f>'101'!#REF!</f>
        <v>#REF!</v>
      </c>
      <c r="C10" s="19" t="e">
        <f>'101'!#REF!</f>
        <v>#REF!</v>
      </c>
      <c r="D10" s="19">
        <v>0</v>
      </c>
      <c r="E10" s="19" t="e">
        <f>B10*$F$6</f>
        <v>#REF!</v>
      </c>
      <c r="F10" s="19" t="e">
        <f>C10*$G$6</f>
        <v>#REF!</v>
      </c>
      <c r="G10" s="83">
        <f>D10*$H$6</f>
        <v>0</v>
      </c>
      <c r="H10" s="18" t="e">
        <f>SUM(E10:G10)</f>
        <v>#REF!</v>
      </c>
      <c r="J10" s="20"/>
    </row>
    <row r="11" ht="20.1" customHeight="1" spans="1:10">
      <c r="A11" s="21" t="s">
        <v>445</v>
      </c>
      <c r="B11" s="24">
        <f>'102'!E105</f>
        <v>0</v>
      </c>
      <c r="C11" s="24">
        <f>'102'!E106</f>
        <v>0</v>
      </c>
      <c r="D11" s="24">
        <f>'102'!E107</f>
        <v>0</v>
      </c>
      <c r="E11" s="24">
        <f t="shared" ref="E11:E36" si="0">B11*$F$6</f>
        <v>0</v>
      </c>
      <c r="F11" s="24">
        <f t="shared" ref="F11:F36" si="1">C11*$G$6</f>
        <v>0</v>
      </c>
      <c r="G11" s="24">
        <f t="shared" ref="G11:G36" si="2">D11*$H$6</f>
        <v>0</v>
      </c>
      <c r="H11" s="23">
        <f t="shared" ref="H11:H36" si="3">SUM(E11:G11)</f>
        <v>0</v>
      </c>
      <c r="J11" s="20"/>
    </row>
    <row r="12" ht="20.1" customHeight="1" spans="1:10">
      <c r="A12" s="16" t="s">
        <v>446</v>
      </c>
      <c r="B12" s="19">
        <f>'103'!E78</f>
        <v>0</v>
      </c>
      <c r="C12" s="19">
        <f>'103'!E79</f>
        <v>0</v>
      </c>
      <c r="D12" s="19">
        <v>0</v>
      </c>
      <c r="E12" s="19">
        <f t="shared" si="0"/>
        <v>0</v>
      </c>
      <c r="F12" s="19">
        <f t="shared" si="1"/>
        <v>0</v>
      </c>
      <c r="G12" s="19">
        <f t="shared" si="2"/>
        <v>0</v>
      </c>
      <c r="H12" s="18">
        <f t="shared" si="3"/>
        <v>0</v>
      </c>
    </row>
    <row r="13" ht="20.1" customHeight="1" spans="1:10">
      <c r="A13" s="21" t="s">
        <v>447</v>
      </c>
      <c r="B13" s="24">
        <f>'105'!E36</f>
        <v>0</v>
      </c>
      <c r="C13" s="24">
        <f>'105'!E37</f>
        <v>0</v>
      </c>
      <c r="D13" s="24">
        <v>0</v>
      </c>
      <c r="E13" s="24">
        <f t="shared" si="0"/>
        <v>0</v>
      </c>
      <c r="F13" s="24">
        <f t="shared" si="1"/>
        <v>0</v>
      </c>
      <c r="G13" s="24">
        <f t="shared" si="2"/>
        <v>0</v>
      </c>
      <c r="H13" s="23">
        <f t="shared" si="3"/>
        <v>0</v>
      </c>
    </row>
    <row r="14" ht="20.1" customHeight="1" spans="1:10">
      <c r="A14" s="16" t="s">
        <v>448</v>
      </c>
      <c r="B14" s="19" t="e">
        <f>'107'!#REF!</f>
        <v>#REF!</v>
      </c>
      <c r="C14" s="19" t="e">
        <f>'107'!#REF!</f>
        <v>#REF!</v>
      </c>
      <c r="D14" s="19">
        <v>0</v>
      </c>
      <c r="E14" s="19" t="e">
        <f t="shared" si="0"/>
        <v>#REF!</v>
      </c>
      <c r="F14" s="19" t="e">
        <f t="shared" si="1"/>
        <v>#REF!</v>
      </c>
      <c r="G14" s="19">
        <f t="shared" si="2"/>
        <v>0</v>
      </c>
      <c r="H14" s="18" t="e">
        <f t="shared" si="3"/>
        <v>#REF!</v>
      </c>
    </row>
    <row r="15" ht="20.1" customHeight="1" spans="1:10">
      <c r="A15" s="21" t="s">
        <v>73</v>
      </c>
      <c r="B15" s="24">
        <f>'108'!E39</f>
        <v>0</v>
      </c>
      <c r="C15" s="24">
        <f>'108'!E40</f>
        <v>0</v>
      </c>
      <c r="D15" s="24">
        <v>0</v>
      </c>
      <c r="E15" s="24">
        <f t="shared" si="0"/>
        <v>0</v>
      </c>
      <c r="F15" s="24">
        <f t="shared" si="1"/>
        <v>0</v>
      </c>
      <c r="G15" s="24">
        <f t="shared" si="2"/>
        <v>0</v>
      </c>
      <c r="H15" s="23">
        <f t="shared" si="3"/>
        <v>0</v>
      </c>
    </row>
    <row r="16" ht="20.1" customHeight="1" spans="1:10">
      <c r="A16" s="16" t="s">
        <v>80</v>
      </c>
      <c r="B16" s="19">
        <f>'109'!I28</f>
        <v>0</v>
      </c>
      <c r="C16" s="19">
        <v>0</v>
      </c>
      <c r="D16" s="19">
        <v>0</v>
      </c>
      <c r="E16" s="19">
        <f t="shared" si="0"/>
        <v>0</v>
      </c>
      <c r="F16" s="19">
        <f t="shared" si="1"/>
        <v>0</v>
      </c>
      <c r="G16" s="19">
        <f t="shared" si="2"/>
        <v>0</v>
      </c>
      <c r="H16" s="18">
        <f t="shared" si="3"/>
        <v>0</v>
      </c>
    </row>
    <row r="17" ht="20.1" customHeight="1" spans="1:13">
      <c r="A17" s="21" t="s">
        <v>449</v>
      </c>
      <c r="B17" s="24" t="e">
        <f>'110'!#REF!</f>
        <v>#REF!</v>
      </c>
      <c r="C17" s="24" t="e">
        <f>'110'!#REF!</f>
        <v>#REF!</v>
      </c>
      <c r="D17" s="24">
        <v>0</v>
      </c>
      <c r="E17" s="24" t="e">
        <f t="shared" si="0"/>
        <v>#REF!</v>
      </c>
      <c r="F17" s="24" t="e">
        <f t="shared" si="1"/>
        <v>#REF!</v>
      </c>
      <c r="G17" s="24">
        <f t="shared" si="2"/>
        <v>0</v>
      </c>
      <c r="H17" s="23" t="e">
        <f t="shared" si="3"/>
        <v>#REF!</v>
      </c>
    </row>
    <row r="18" ht="20.1" customHeight="1" spans="1:13">
      <c r="A18" s="16" t="s">
        <v>450</v>
      </c>
      <c r="B18" s="19" t="e">
        <f>'111'!#REF!</f>
        <v>#REF!</v>
      </c>
      <c r="C18" s="19" t="e">
        <f>'111'!#REF!</f>
        <v>#REF!</v>
      </c>
      <c r="D18" s="19">
        <v>0</v>
      </c>
      <c r="E18" s="19" t="e">
        <f t="shared" si="0"/>
        <v>#REF!</v>
      </c>
      <c r="F18" s="19" t="e">
        <f t="shared" si="1"/>
        <v>#REF!</v>
      </c>
      <c r="G18" s="19">
        <f t="shared" si="2"/>
        <v>0</v>
      </c>
      <c r="H18" s="18" t="e">
        <f t="shared" si="3"/>
        <v>#REF!</v>
      </c>
    </row>
    <row r="19" ht="20.1" customHeight="1" spans="1:13">
      <c r="A19" s="21" t="s">
        <v>451</v>
      </c>
      <c r="B19" s="24" t="e">
        <f>'112'!#REF!</f>
        <v>#REF!</v>
      </c>
      <c r="C19" s="24">
        <f>'112'!E57</f>
        <v>0</v>
      </c>
      <c r="D19" s="24">
        <v>0</v>
      </c>
      <c r="E19" s="24" t="e">
        <f t="shared" si="0"/>
        <v>#REF!</v>
      </c>
      <c r="F19" s="24">
        <f t="shared" si="1"/>
        <v>0</v>
      </c>
      <c r="G19" s="24">
        <f t="shared" si="2"/>
        <v>0</v>
      </c>
      <c r="H19" s="23" t="e">
        <f t="shared" si="3"/>
        <v>#REF!</v>
      </c>
    </row>
    <row r="20" ht="20.1" customHeight="1" spans="1:13">
      <c r="A20" s="16" t="s">
        <v>452</v>
      </c>
      <c r="B20" s="19">
        <f>'113'!E88</f>
        <v>0</v>
      </c>
      <c r="C20" s="19">
        <f>'113'!E91</f>
        <v>0</v>
      </c>
      <c r="D20" s="19">
        <f>'113'!E92</f>
        <v>0</v>
      </c>
      <c r="E20" s="19">
        <f t="shared" si="0"/>
        <v>0</v>
      </c>
      <c r="F20" s="19">
        <f t="shared" si="1"/>
        <v>0</v>
      </c>
      <c r="G20" s="19">
        <f t="shared" si="2"/>
        <v>0</v>
      </c>
      <c r="H20" s="18">
        <f t="shared" si="3"/>
        <v>0</v>
      </c>
    </row>
    <row r="21" ht="20.1" customHeight="1" spans="1:13">
      <c r="A21" s="21" t="s">
        <v>453</v>
      </c>
      <c r="B21" s="24" t="e">
        <f>'114'!#REF!</f>
        <v>#REF!</v>
      </c>
      <c r="C21" s="24" t="e">
        <f>'114'!#REF!</f>
        <v>#REF!</v>
      </c>
      <c r="D21" s="24">
        <v>0</v>
      </c>
      <c r="E21" s="24" t="e">
        <f t="shared" si="0"/>
        <v>#REF!</v>
      </c>
      <c r="F21" s="24" t="e">
        <f t="shared" si="1"/>
        <v>#REF!</v>
      </c>
      <c r="G21" s="24">
        <f t="shared" si="2"/>
        <v>0</v>
      </c>
      <c r="H21" s="23" t="e">
        <f t="shared" si="3"/>
        <v>#REF!</v>
      </c>
    </row>
    <row r="22" ht="20.1" customHeight="1" spans="1:13">
      <c r="A22" s="16" t="s">
        <v>454</v>
      </c>
      <c r="B22" s="19">
        <f>'115'!E45</f>
        <v>0</v>
      </c>
      <c r="C22" s="19">
        <f>'115'!E46</f>
        <v>0</v>
      </c>
      <c r="D22" s="19">
        <v>0</v>
      </c>
      <c r="E22" s="19">
        <f t="shared" si="0"/>
        <v>0</v>
      </c>
      <c r="F22" s="19">
        <f t="shared" si="1"/>
        <v>0</v>
      </c>
      <c r="G22" s="19">
        <f t="shared" si="2"/>
        <v>0</v>
      </c>
      <c r="H22" s="18">
        <f t="shared" si="3"/>
        <v>0</v>
      </c>
    </row>
    <row r="23" ht="20.1" customHeight="1" spans="1:13">
      <c r="A23" s="21" t="s">
        <v>455</v>
      </c>
      <c r="B23" s="24">
        <f>'116'!E40</f>
        <v>0</v>
      </c>
      <c r="C23" s="24">
        <f>'116'!E41</f>
        <v>0</v>
      </c>
      <c r="D23" s="24">
        <v>0</v>
      </c>
      <c r="E23" s="24">
        <f t="shared" si="0"/>
        <v>0</v>
      </c>
      <c r="F23" s="24">
        <f t="shared" si="1"/>
        <v>0</v>
      </c>
      <c r="G23" s="24">
        <f t="shared" si="2"/>
        <v>0</v>
      </c>
      <c r="H23" s="23">
        <f t="shared" si="3"/>
        <v>0</v>
      </c>
    </row>
    <row r="24" ht="20.1" customHeight="1" spans="1:13">
      <c r="A24" s="16" t="s">
        <v>490</v>
      </c>
      <c r="B24" s="19" t="e">
        <f>#REF!</f>
        <v>#REF!</v>
      </c>
      <c r="C24" s="19">
        <v>0</v>
      </c>
      <c r="D24" s="19">
        <v>0</v>
      </c>
      <c r="E24" s="19" t="e">
        <f t="shared" si="0"/>
        <v>#REF!</v>
      </c>
      <c r="F24" s="19">
        <f t="shared" si="1"/>
        <v>0</v>
      </c>
      <c r="G24" s="19">
        <f t="shared" si="2"/>
        <v>0</v>
      </c>
      <c r="H24" s="18" t="e">
        <f t="shared" si="3"/>
        <v>#REF!</v>
      </c>
    </row>
    <row r="25" ht="20.1" customHeight="1" spans="1:13">
      <c r="A25" s="21" t="s">
        <v>456</v>
      </c>
      <c r="B25" s="24" t="e">
        <f>'119'!#REF!</f>
        <v>#REF!</v>
      </c>
      <c r="C25" s="24" t="e">
        <f>'119'!#REF!</f>
        <v>#REF!</v>
      </c>
      <c r="D25" s="24">
        <v>0</v>
      </c>
      <c r="E25" s="24" t="e">
        <f t="shared" si="0"/>
        <v>#REF!</v>
      </c>
      <c r="F25" s="24" t="e">
        <f t="shared" si="1"/>
        <v>#REF!</v>
      </c>
      <c r="G25" s="24">
        <f t="shared" si="2"/>
        <v>0</v>
      </c>
      <c r="H25" s="23" t="e">
        <f t="shared" si="3"/>
        <v>#REF!</v>
      </c>
    </row>
    <row r="26" ht="20.1" customHeight="1" spans="1:13">
      <c r="A26" s="16" t="s">
        <v>200</v>
      </c>
      <c r="B26" s="19">
        <f>'201'!E35</f>
        <v>0</v>
      </c>
      <c r="C26" s="19">
        <v>0</v>
      </c>
      <c r="D26" s="19">
        <v>0</v>
      </c>
      <c r="E26" s="19">
        <f t="shared" si="0"/>
        <v>0</v>
      </c>
      <c r="F26" s="19">
        <f t="shared" si="1"/>
        <v>0</v>
      </c>
      <c r="G26" s="19">
        <f t="shared" si="2"/>
        <v>0</v>
      </c>
      <c r="H26" s="18">
        <f t="shared" si="3"/>
        <v>0</v>
      </c>
    </row>
    <row r="27" ht="20.1" customHeight="1" spans="1:13">
      <c r="A27" s="21" t="s">
        <v>209</v>
      </c>
      <c r="B27" s="24">
        <f>'202'!E32</f>
        <v>0</v>
      </c>
      <c r="C27" s="24">
        <v>0</v>
      </c>
      <c r="D27" s="24">
        <v>0</v>
      </c>
      <c r="E27" s="24">
        <f t="shared" si="0"/>
        <v>0</v>
      </c>
      <c r="F27" s="24">
        <f t="shared" si="1"/>
        <v>0</v>
      </c>
      <c r="G27" s="24">
        <f t="shared" si="2"/>
        <v>0</v>
      </c>
      <c r="H27" s="23">
        <f t="shared" si="3"/>
        <v>0</v>
      </c>
    </row>
    <row r="28" ht="20.1" customHeight="1" spans="1:13">
      <c r="A28" s="84" t="s">
        <v>459</v>
      </c>
      <c r="B28" s="28">
        <f>'205'!E31</f>
        <v>0</v>
      </c>
      <c r="C28" s="28">
        <v>0</v>
      </c>
      <c r="D28" s="28">
        <v>0</v>
      </c>
      <c r="E28" s="28">
        <f t="shared" si="0"/>
        <v>0</v>
      </c>
      <c r="F28" s="28">
        <f t="shared" si="1"/>
        <v>0</v>
      </c>
      <c r="G28" s="28">
        <f t="shared" si="2"/>
        <v>0</v>
      </c>
      <c r="H28" s="27">
        <f t="shared" si="3"/>
        <v>0</v>
      </c>
    </row>
    <row r="29" ht="20.1" customHeight="1" spans="1:13">
      <c r="A29" s="85" t="s">
        <v>460</v>
      </c>
      <c r="B29" s="86" t="e">
        <f>'206'!#REF!</f>
        <v>#REF!</v>
      </c>
      <c r="C29" s="86">
        <v>0</v>
      </c>
      <c r="D29" s="86">
        <v>0</v>
      </c>
      <c r="E29" s="86" t="e">
        <f t="shared" si="0"/>
        <v>#REF!</v>
      </c>
      <c r="F29" s="86">
        <f t="shared" si="1"/>
        <v>0</v>
      </c>
      <c r="G29" s="86">
        <f t="shared" si="2"/>
        <v>0</v>
      </c>
      <c r="H29" s="87" t="e">
        <f t="shared" si="3"/>
        <v>#REF!</v>
      </c>
    </row>
    <row r="30" ht="20.1" customHeight="1" spans="1:13">
      <c r="A30" s="84" t="s">
        <v>461</v>
      </c>
      <c r="B30" s="28">
        <f>'301 '!E48</f>
        <v>0</v>
      </c>
      <c r="C30" s="28">
        <v>0</v>
      </c>
      <c r="D30" s="28">
        <v>0</v>
      </c>
      <c r="E30" s="28">
        <f t="shared" si="0"/>
        <v>0</v>
      </c>
      <c r="F30" s="28">
        <f t="shared" si="1"/>
        <v>0</v>
      </c>
      <c r="G30" s="28">
        <f t="shared" si="2"/>
        <v>0</v>
      </c>
      <c r="H30" s="27">
        <f t="shared" si="3"/>
        <v>0</v>
      </c>
      <c r="J30" s="6"/>
      <c r="K30" s="6"/>
      <c r="L30" s="6"/>
      <c r="M30" s="6"/>
    </row>
    <row r="31" ht="20.1" customHeight="1" spans="1:13">
      <c r="A31" s="84" t="s">
        <v>263</v>
      </c>
      <c r="B31" s="28">
        <f>'302'!E33</f>
        <v>0</v>
      </c>
      <c r="C31" s="28">
        <v>0</v>
      </c>
      <c r="D31" s="28">
        <v>0</v>
      </c>
      <c r="E31" s="28">
        <f t="shared" si="0"/>
        <v>0</v>
      </c>
      <c r="F31" s="28">
        <f t="shared" si="1"/>
        <v>0</v>
      </c>
      <c r="G31" s="28">
        <f t="shared" si="2"/>
        <v>0</v>
      </c>
      <c r="H31" s="27">
        <f t="shared" si="3"/>
        <v>0</v>
      </c>
      <c r="J31" s="6"/>
      <c r="K31" s="6"/>
      <c r="L31" s="6"/>
      <c r="M31" s="6"/>
    </row>
    <row r="32" ht="20.1" customHeight="1" spans="1:13">
      <c r="A32" s="85" t="s">
        <v>463</v>
      </c>
      <c r="B32" s="86">
        <f>'302(Extra)'!E21</f>
        <v>0</v>
      </c>
      <c r="C32" s="86">
        <v>0</v>
      </c>
      <c r="D32" s="86">
        <v>0</v>
      </c>
      <c r="E32" s="86">
        <f t="shared" si="0"/>
        <v>0</v>
      </c>
      <c r="F32" s="86">
        <f t="shared" si="1"/>
        <v>0</v>
      </c>
      <c r="G32" s="86">
        <f t="shared" si="2"/>
        <v>0</v>
      </c>
      <c r="H32" s="87">
        <f t="shared" si="3"/>
        <v>0</v>
      </c>
      <c r="J32" s="6"/>
      <c r="K32" s="6"/>
      <c r="L32" s="6"/>
      <c r="M32" s="6"/>
    </row>
    <row r="33" ht="20.1" customHeight="1" spans="1:13">
      <c r="A33" s="84" t="s">
        <v>491</v>
      </c>
      <c r="B33" s="28" t="e">
        <f>#REF!</f>
        <v>#REF!</v>
      </c>
      <c r="C33" s="28">
        <v>0</v>
      </c>
      <c r="D33" s="28">
        <v>0</v>
      </c>
      <c r="E33" s="28" t="e">
        <f t="shared" si="0"/>
        <v>#REF!</v>
      </c>
      <c r="F33" s="28">
        <f t="shared" si="1"/>
        <v>0</v>
      </c>
      <c r="G33" s="28">
        <f t="shared" si="2"/>
        <v>0</v>
      </c>
      <c r="H33" s="27" t="e">
        <f t="shared" si="3"/>
        <v>#REF!</v>
      </c>
      <c r="J33" s="6"/>
      <c r="K33" s="6"/>
      <c r="L33" s="6"/>
      <c r="M33" s="6"/>
    </row>
    <row r="34" ht="20.1" customHeight="1" spans="1:13">
      <c r="A34" s="85" t="s">
        <v>464</v>
      </c>
      <c r="B34" s="86">
        <f>'304'!E34</f>
        <v>0</v>
      </c>
      <c r="C34" s="86">
        <v>0</v>
      </c>
      <c r="D34" s="86">
        <v>0</v>
      </c>
      <c r="E34" s="86">
        <f t="shared" si="0"/>
        <v>0</v>
      </c>
      <c r="F34" s="86">
        <f t="shared" si="1"/>
        <v>0</v>
      </c>
      <c r="G34" s="86">
        <f t="shared" si="2"/>
        <v>0</v>
      </c>
      <c r="H34" s="87">
        <f t="shared" si="3"/>
        <v>0</v>
      </c>
      <c r="J34" s="6"/>
      <c r="K34" s="6"/>
      <c r="L34" s="6"/>
      <c r="M34" s="6"/>
    </row>
    <row r="35" ht="20.1" customHeight="1" spans="1:13">
      <c r="A35" s="84" t="s">
        <v>293</v>
      </c>
      <c r="B35" s="28">
        <f>'305'!E32</f>
        <v>0</v>
      </c>
      <c r="C35" s="28">
        <v>0</v>
      </c>
      <c r="D35" s="28">
        <v>0</v>
      </c>
      <c r="E35" s="28">
        <f t="shared" si="0"/>
        <v>0</v>
      </c>
      <c r="F35" s="28">
        <f t="shared" si="1"/>
        <v>0</v>
      </c>
      <c r="G35" s="28">
        <f t="shared" si="2"/>
        <v>0</v>
      </c>
      <c r="H35" s="27">
        <f t="shared" si="3"/>
        <v>0</v>
      </c>
      <c r="J35" s="6"/>
      <c r="K35" s="6"/>
      <c r="L35" s="6"/>
      <c r="M35" s="6"/>
    </row>
    <row r="36" ht="20.1" customHeight="1" spans="1:13">
      <c r="A36" s="16" t="s">
        <v>465</v>
      </c>
      <c r="B36" s="28">
        <f>'306'!E28</f>
        <v>0</v>
      </c>
      <c r="C36" s="28">
        <v>0</v>
      </c>
      <c r="D36" s="28">
        <v>0</v>
      </c>
      <c r="E36" s="28">
        <f t="shared" si="0"/>
        <v>0</v>
      </c>
      <c r="F36" s="28">
        <f t="shared" si="1"/>
        <v>0</v>
      </c>
      <c r="G36" s="28">
        <f t="shared" si="2"/>
        <v>0</v>
      </c>
      <c r="H36" s="27">
        <f t="shared" si="3"/>
        <v>0</v>
      </c>
      <c r="J36" s="6"/>
      <c r="K36" s="6"/>
      <c r="L36" s="6"/>
      <c r="M36" s="6"/>
    </row>
    <row r="37" ht="24.95" customHeight="1" spans="1:13">
      <c r="A37" s="30" t="s">
        <v>457</v>
      </c>
      <c r="B37" s="30" t="e">
        <f t="shared" ref="B37:H37" si="4">SUM(B10:B36)</f>
        <v>#REF!</v>
      </c>
      <c r="C37" s="30" t="e">
        <f t="shared" si="4"/>
        <v>#REF!</v>
      </c>
      <c r="D37" s="30">
        <f t="shared" si="4"/>
        <v>0</v>
      </c>
      <c r="E37" s="30" t="e">
        <f t="shared" si="4"/>
        <v>#REF!</v>
      </c>
      <c r="F37" s="30" t="e">
        <f t="shared" si="4"/>
        <v>#REF!</v>
      </c>
      <c r="G37" s="30">
        <f t="shared" si="4"/>
        <v>0</v>
      </c>
      <c r="H37" s="30" t="e">
        <f t="shared" si="4"/>
        <v>#REF!</v>
      </c>
      <c r="J37" s="6"/>
    </row>
    <row r="38" spans="1:13">
      <c r="H38" s="6"/>
    </row>
    <row r="39" spans="1:13">
      <c r="H39" s="20"/>
    </row>
    <row r="41" s="38" customFormat="1" customHeight="1" spans="1:13">
      <c r="A41" s="88"/>
      <c r="B41" s="88"/>
      <c r="C41" s="88"/>
      <c r="D41" s="88"/>
      <c r="E41" s="88"/>
      <c r="F41" s="88"/>
      <c r="G41" s="88"/>
      <c r="I41" s="89"/>
    </row>
    <row r="42" s="38" customFormat="1" customHeight="1" spans="1:13">
      <c r="A42" s="88"/>
      <c r="B42" s="88"/>
      <c r="C42" s="88"/>
      <c r="D42" s="88"/>
      <c r="E42" s="88"/>
      <c r="F42" s="88"/>
      <c r="G42" s="88"/>
      <c r="I42" s="89"/>
    </row>
    <row r="43" s="38" customFormat="1" spans="1:13">
      <c r="A43" s="90"/>
      <c r="B43" s="90"/>
      <c r="C43" s="90"/>
      <c r="D43" s="90"/>
      <c r="E43" s="90"/>
      <c r="I43" s="89"/>
    </row>
    <row r="44" s="38" customFormat="1" spans="1:13">
      <c r="A44" s="90"/>
      <c r="B44" s="90"/>
      <c r="C44" s="90"/>
      <c r="D44" s="90"/>
      <c r="E44" s="90"/>
      <c r="I44" s="89"/>
    </row>
    <row r="45" s="38" customFormat="1" spans="1:13">
      <c r="A45" s="90"/>
      <c r="B45" s="90"/>
      <c r="C45" s="90"/>
      <c r="D45" s="90"/>
      <c r="E45" s="90"/>
      <c r="I45" s="89"/>
    </row>
    <row r="46" spans="1:13">
      <c r="A46" s="90"/>
      <c r="B46" s="90"/>
      <c r="C46" s="90"/>
      <c r="D46" s="90"/>
      <c r="E46" s="90"/>
    </row>
  </sheetData>
  <mergeCells count="7">
    <mergeCell ref="A1:H1"/>
    <mergeCell ref="F3:H3"/>
    <mergeCell ref="F4:H4"/>
    <mergeCell ref="B8:D8"/>
    <mergeCell ref="E8:G8"/>
    <mergeCell ref="A8:A9"/>
    <mergeCell ref="H8:H9"/>
  </mergeCells>
  <pageMargins left="0.354330708661417" right="0.196850393700787" top="0.196850393700787" bottom="0.196850393700787" header="0.511811023622047" footer="0.511811023622047"/>
  <pageSetup paperSize="9" scale="67" orientation="portrait" horizontalDpi="360" verticalDpi="360"/>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53"/>
  <sheetViews>
    <sheetView topLeftCell="B1" workbookViewId="0">
      <selection activeCell="M26" sqref="M26"/>
    </sheetView>
  </sheetViews>
  <sheetFormatPr defaultColWidth="9.14285714285714" defaultRowHeight="15.75"/>
  <cols>
    <col min="1" max="1" width="51.2857142857143" style="5" customWidth="1"/>
    <col min="2" max="9" width="20.7142857142857" style="5" customWidth="1"/>
    <col min="10" max="10" width="20.7142857142857" style="6" customWidth="1"/>
    <col min="11" max="11" width="20.7142857142857" style="5" customWidth="1"/>
    <col min="12" max="13" width="19.2857142857143" style="5" customWidth="1"/>
    <col min="14" max="14" width="9.42857142857143" style="5" customWidth="1"/>
    <col min="15" max="15" width="10.1428571428571" style="5" customWidth="1"/>
    <col min="16" max="16" width="9.14285714285714" style="5"/>
    <col min="17" max="17" width="8.57142857142857" style="5" customWidth="1"/>
    <col min="18" max="18" width="9.42857142857143" style="5" customWidth="1"/>
    <col min="19" max="19" width="8" style="5" customWidth="1"/>
    <col min="20" max="20" width="8.42857142857143" style="5" customWidth="1"/>
    <col min="21" max="21" width="8.28571428571429" style="5" customWidth="1"/>
    <col min="22" max="22" width="7" style="5" customWidth="1"/>
    <col min="23" max="16384" width="9.14285714285714" style="5"/>
  </cols>
  <sheetData>
    <row r="1" ht="27.75" customHeight="1" spans="1:12">
      <c r="A1" s="7" t="s">
        <v>472</v>
      </c>
      <c r="B1" s="7"/>
      <c r="C1" s="7"/>
      <c r="D1" s="7"/>
      <c r="E1" s="7"/>
      <c r="F1" s="7"/>
      <c r="G1" s="7"/>
      <c r="H1" s="7"/>
      <c r="I1" s="7"/>
    </row>
    <row r="2" s="1" customFormat="1" ht="5.1" customHeight="1" spans="1:12">
      <c r="A2" s="8"/>
      <c r="B2" s="8"/>
      <c r="C2" s="8"/>
      <c r="D2" s="8"/>
      <c r="E2" s="8"/>
      <c r="F2" s="8"/>
      <c r="G2" s="8"/>
      <c r="H2" s="8"/>
      <c r="I2" s="8"/>
      <c r="J2" s="9"/>
    </row>
    <row r="3" s="1" customFormat="1" ht="33" customHeight="1" spans="1:12">
      <c r="A3" s="10" t="s">
        <v>423</v>
      </c>
      <c r="B3" s="10"/>
      <c r="C3" s="10"/>
      <c r="D3" s="10"/>
      <c r="E3" s="10"/>
      <c r="F3" s="10"/>
      <c r="G3" s="10"/>
      <c r="H3" s="10"/>
      <c r="I3" s="10"/>
      <c r="J3" s="10"/>
    </row>
    <row r="4" s="1" customFormat="1" ht="24.95" customHeight="1" spans="1:12">
      <c r="A4" s="11" t="s">
        <v>434</v>
      </c>
      <c r="B4" s="12" t="s">
        <v>473</v>
      </c>
      <c r="C4" s="12"/>
      <c r="D4" s="13" t="s">
        <v>488</v>
      </c>
      <c r="E4" s="14"/>
      <c r="F4" s="14"/>
      <c r="G4" s="15"/>
      <c r="H4" s="13" t="s">
        <v>487</v>
      </c>
      <c r="I4" s="14"/>
      <c r="J4" s="15"/>
    </row>
    <row r="5" s="2" customFormat="1" ht="24.95" customHeight="1" spans="1:12">
      <c r="A5" s="11"/>
      <c r="B5" s="12" t="s">
        <v>475</v>
      </c>
      <c r="C5" s="11" t="s">
        <v>476</v>
      </c>
      <c r="D5" s="12" t="s">
        <v>477</v>
      </c>
      <c r="E5" s="12" t="s">
        <v>425</v>
      </c>
      <c r="F5" s="12" t="s">
        <v>441</v>
      </c>
      <c r="G5" s="12" t="s">
        <v>442</v>
      </c>
      <c r="H5" s="11" t="s">
        <v>425</v>
      </c>
      <c r="I5" s="12" t="s">
        <v>441</v>
      </c>
      <c r="J5" s="12" t="s">
        <v>442</v>
      </c>
    </row>
    <row r="6" ht="20.1" customHeight="1" spans="1:12">
      <c r="A6" s="16" t="s">
        <v>444</v>
      </c>
      <c r="B6" s="17" t="s">
        <v>478</v>
      </c>
      <c r="C6" s="17">
        <v>2</v>
      </c>
      <c r="D6" s="18" t="e">
        <f t="shared" ref="D6:D7" si="0">SUM(E6:G6)</f>
        <v>#REF!</v>
      </c>
      <c r="E6" s="19" t="e">
        <f>HORAS!E10</f>
        <v>#REF!</v>
      </c>
      <c r="F6" s="19" t="e">
        <f>HORAS!F10</f>
        <v>#REF!</v>
      </c>
      <c r="G6" s="19">
        <f>HORAS!G10</f>
        <v>0</v>
      </c>
      <c r="H6" s="19" t="e">
        <f>HORAS!B10</f>
        <v>#REF!</v>
      </c>
      <c r="I6" s="19" t="e">
        <f>HORAS!C10</f>
        <v>#REF!</v>
      </c>
      <c r="J6" s="19">
        <f>HORAS!D10</f>
        <v>0</v>
      </c>
      <c r="K6" s="20"/>
      <c r="L6" s="20"/>
    </row>
    <row r="7" ht="20.1" customHeight="1" spans="1:12">
      <c r="A7" s="21" t="s">
        <v>445</v>
      </c>
      <c r="B7" s="22" t="s">
        <v>478</v>
      </c>
      <c r="C7" s="22">
        <v>2</v>
      </c>
      <c r="D7" s="23">
        <f t="shared" si="0"/>
        <v>0</v>
      </c>
      <c r="E7" s="24">
        <f>HORAS!E11</f>
        <v>0</v>
      </c>
      <c r="F7" s="24">
        <f>HORAS!F11</f>
        <v>0</v>
      </c>
      <c r="G7" s="24">
        <f>HORAS!G11</f>
        <v>0</v>
      </c>
      <c r="H7" s="24">
        <f>HORAS!B11</f>
        <v>0</v>
      </c>
      <c r="I7" s="24">
        <f>HORAS!C11</f>
        <v>0</v>
      </c>
      <c r="J7" s="24">
        <f>HORAS!D11</f>
        <v>0</v>
      </c>
      <c r="K7" s="20"/>
    </row>
    <row r="8" ht="20.1" customHeight="1" spans="1:12">
      <c r="A8" s="16" t="s">
        <v>446</v>
      </c>
      <c r="B8" s="17" t="s">
        <v>478</v>
      </c>
      <c r="C8" s="17">
        <v>2</v>
      </c>
      <c r="D8" s="18">
        <f t="shared" ref="D8:D23" si="1">SUM(E8:G8)</f>
        <v>0</v>
      </c>
      <c r="E8" s="19">
        <f>HORAS!E12</f>
        <v>0</v>
      </c>
      <c r="F8" s="19">
        <f>HORAS!F12</f>
        <v>0</v>
      </c>
      <c r="G8" s="19">
        <f>HORAS!G12</f>
        <v>0</v>
      </c>
      <c r="H8" s="19">
        <f>HORAS!B12</f>
        <v>0</v>
      </c>
      <c r="I8" s="19">
        <f>HORAS!C12</f>
        <v>0</v>
      </c>
      <c r="J8" s="19">
        <f>HORAS!D12</f>
        <v>0</v>
      </c>
    </row>
    <row r="9" ht="20.1" customHeight="1" spans="1:12">
      <c r="A9" s="21" t="s">
        <v>447</v>
      </c>
      <c r="B9" s="22" t="s">
        <v>480</v>
      </c>
      <c r="C9" s="22">
        <v>1</v>
      </c>
      <c r="D9" s="23">
        <f t="shared" si="1"/>
        <v>0</v>
      </c>
      <c r="E9" s="24">
        <f>HORAS!E13</f>
        <v>0</v>
      </c>
      <c r="F9" s="24">
        <f>HORAS!F13</f>
        <v>0</v>
      </c>
      <c r="G9" s="24">
        <f>HORAS!G13</f>
        <v>0</v>
      </c>
      <c r="H9" s="24">
        <f>HORAS!B13</f>
        <v>0</v>
      </c>
      <c r="I9" s="24">
        <f>HORAS!C13</f>
        <v>0</v>
      </c>
      <c r="J9" s="24">
        <f>HORAS!D13</f>
        <v>0</v>
      </c>
    </row>
    <row r="10" ht="20.1" customHeight="1" spans="1:12">
      <c r="A10" s="25" t="s">
        <v>448</v>
      </c>
      <c r="B10" s="17" t="s">
        <v>478</v>
      </c>
      <c r="C10" s="17">
        <v>1</v>
      </c>
      <c r="D10" s="18" t="e">
        <f t="shared" si="1"/>
        <v>#REF!</v>
      </c>
      <c r="E10" s="19" t="e">
        <f>H10*HORAS!$F$6</f>
        <v>#REF!</v>
      </c>
      <c r="F10" s="19" t="e">
        <f>I10*HORAS!$G$6</f>
        <v>#REF!</v>
      </c>
      <c r="G10" s="19">
        <f>J10*HORAS!$H$6</f>
        <v>0</v>
      </c>
      <c r="H10" s="19" t="e">
        <f>'107'!#REF!</f>
        <v>#REF!</v>
      </c>
      <c r="I10" s="19" t="e">
        <f>'107'!#REF!</f>
        <v>#REF!</v>
      </c>
      <c r="J10" s="19">
        <v>0</v>
      </c>
    </row>
    <row r="11" ht="20.1" customHeight="1" spans="1:12">
      <c r="A11" s="25"/>
      <c r="B11" s="17" t="s">
        <v>479</v>
      </c>
      <c r="C11" s="17">
        <v>1</v>
      </c>
      <c r="D11" s="18" t="e">
        <f t="shared" si="1"/>
        <v>#REF!</v>
      </c>
      <c r="E11" s="19" t="e">
        <f>H11*HORAS!$F$6</f>
        <v>#REF!</v>
      </c>
      <c r="F11" s="19" t="e">
        <f>I11*HORAS!$G$6</f>
        <v>#REF!</v>
      </c>
      <c r="G11" s="19">
        <f>J11*HORAS!$H$6</f>
        <v>0</v>
      </c>
      <c r="H11" s="19" t="e">
        <f>'107'!#REF!</f>
        <v>#REF!</v>
      </c>
      <c r="I11" s="19" t="e">
        <f>'107'!#REF!</f>
        <v>#REF!</v>
      </c>
      <c r="J11" s="19">
        <v>0</v>
      </c>
    </row>
    <row r="12" ht="20.1" customHeight="1" spans="1:12">
      <c r="A12" s="21" t="s">
        <v>73</v>
      </c>
      <c r="B12" s="22" t="s">
        <v>479</v>
      </c>
      <c r="C12" s="22">
        <v>1</v>
      </c>
      <c r="D12" s="23">
        <f t="shared" si="1"/>
        <v>0</v>
      </c>
      <c r="E12" s="24">
        <f>HORAS!E15</f>
        <v>0</v>
      </c>
      <c r="F12" s="24">
        <f>HORAS!F15</f>
        <v>0</v>
      </c>
      <c r="G12" s="24">
        <f>HORAS!G15</f>
        <v>0</v>
      </c>
      <c r="H12" s="24">
        <f>HORAS!B15</f>
        <v>0</v>
      </c>
      <c r="I12" s="24">
        <f>HORAS!C15</f>
        <v>0</v>
      </c>
      <c r="J12" s="24">
        <f>HORAS!D15</f>
        <v>0</v>
      </c>
    </row>
    <row r="13" ht="20.1" customHeight="1" spans="1:12">
      <c r="A13" s="16" t="s">
        <v>80</v>
      </c>
      <c r="B13" s="17" t="s">
        <v>478</v>
      </c>
      <c r="C13" s="17">
        <v>1</v>
      </c>
      <c r="D13" s="18">
        <f t="shared" si="1"/>
        <v>0</v>
      </c>
      <c r="E13" s="19">
        <f>HORAS!E16</f>
        <v>0</v>
      </c>
      <c r="F13" s="19">
        <f>HORAS!F16</f>
        <v>0</v>
      </c>
      <c r="G13" s="19">
        <f>HORAS!G16</f>
        <v>0</v>
      </c>
      <c r="H13" s="19">
        <f>HORAS!B16</f>
        <v>0</v>
      </c>
      <c r="I13" s="19">
        <f>HORAS!C16</f>
        <v>0</v>
      </c>
      <c r="J13" s="19">
        <f>HORAS!D16</f>
        <v>0</v>
      </c>
    </row>
    <row r="14" ht="20.1" customHeight="1" spans="1:12">
      <c r="A14" s="21" t="s">
        <v>449</v>
      </c>
      <c r="B14" s="22" t="s">
        <v>478</v>
      </c>
      <c r="C14" s="22">
        <v>1</v>
      </c>
      <c r="D14" s="23" t="e">
        <f t="shared" si="1"/>
        <v>#REF!</v>
      </c>
      <c r="E14" s="24" t="e">
        <f>HORAS!E17</f>
        <v>#REF!</v>
      </c>
      <c r="F14" s="24" t="e">
        <f>HORAS!F17</f>
        <v>#REF!</v>
      </c>
      <c r="G14" s="24">
        <f>HORAS!G17</f>
        <v>0</v>
      </c>
      <c r="H14" s="24" t="e">
        <f>HORAS!B17</f>
        <v>#REF!</v>
      </c>
      <c r="I14" s="24" t="e">
        <f>HORAS!C17</f>
        <v>#REF!</v>
      </c>
      <c r="J14" s="24">
        <f>HORAS!D17</f>
        <v>0</v>
      </c>
    </row>
    <row r="15" ht="20.1" customHeight="1" spans="1:12">
      <c r="A15" s="16" t="s">
        <v>450</v>
      </c>
      <c r="B15" s="17" t="s">
        <v>479</v>
      </c>
      <c r="C15" s="17">
        <v>1</v>
      </c>
      <c r="D15" s="18" t="e">
        <f t="shared" si="1"/>
        <v>#REF!</v>
      </c>
      <c r="E15" s="19" t="e">
        <f>HORAS!E18</f>
        <v>#REF!</v>
      </c>
      <c r="F15" s="19" t="e">
        <f>HORAS!F18</f>
        <v>#REF!</v>
      </c>
      <c r="G15" s="19">
        <f>HORAS!G18</f>
        <v>0</v>
      </c>
      <c r="H15" s="19" t="e">
        <f>HORAS!B18</f>
        <v>#REF!</v>
      </c>
      <c r="I15" s="19" t="e">
        <f>HORAS!C18</f>
        <v>#REF!</v>
      </c>
      <c r="J15" s="19">
        <f>HORAS!D18</f>
        <v>0</v>
      </c>
    </row>
    <row r="16" ht="20.1" customHeight="1" spans="1:12">
      <c r="A16" s="21" t="s">
        <v>451</v>
      </c>
      <c r="B16" s="22" t="s">
        <v>478</v>
      </c>
      <c r="C16" s="22">
        <v>1</v>
      </c>
      <c r="D16" s="23" t="e">
        <f t="shared" si="1"/>
        <v>#REF!</v>
      </c>
      <c r="E16" s="24" t="e">
        <f>HORAS!E19</f>
        <v>#REF!</v>
      </c>
      <c r="F16" s="24">
        <f>HORAS!F19</f>
        <v>0</v>
      </c>
      <c r="G16" s="24">
        <f>HORAS!G19</f>
        <v>0</v>
      </c>
      <c r="H16" s="24" t="e">
        <f>HORAS!B19</f>
        <v>#REF!</v>
      </c>
      <c r="I16" s="24">
        <f>HORAS!C19</f>
        <v>0</v>
      </c>
      <c r="J16" s="24">
        <f>HORAS!D19</f>
        <v>0</v>
      </c>
    </row>
    <row r="17" ht="20.1" customHeight="1" spans="1:11">
      <c r="A17" s="25" t="s">
        <v>452</v>
      </c>
      <c r="B17" s="17" t="s">
        <v>478</v>
      </c>
      <c r="C17" s="17">
        <v>2</v>
      </c>
      <c r="D17" s="18">
        <f t="shared" si="1"/>
        <v>0</v>
      </c>
      <c r="E17" s="19">
        <f>HORAS!E20</f>
        <v>0</v>
      </c>
      <c r="F17" s="19">
        <f>HORAS!F20</f>
        <v>0</v>
      </c>
      <c r="G17" s="19">
        <f>HORAS!G20</f>
        <v>0</v>
      </c>
      <c r="H17" s="19">
        <f>HORAS!B20</f>
        <v>0</v>
      </c>
      <c r="I17" s="19">
        <f>HORAS!C20</f>
        <v>0</v>
      </c>
      <c r="J17" s="19">
        <f>HORAS!D20</f>
        <v>0</v>
      </c>
    </row>
    <row r="18" ht="20.1" customHeight="1" spans="1:11">
      <c r="A18" s="21" t="s">
        <v>453</v>
      </c>
      <c r="B18" s="22" t="s">
        <v>479</v>
      </c>
      <c r="C18" s="22">
        <v>2</v>
      </c>
      <c r="D18" s="23" t="e">
        <f t="shared" si="1"/>
        <v>#REF!</v>
      </c>
      <c r="E18" s="24" t="e">
        <f>HORAS!E21</f>
        <v>#REF!</v>
      </c>
      <c r="F18" s="24" t="e">
        <f>HORAS!F21</f>
        <v>#REF!</v>
      </c>
      <c r="G18" s="24">
        <f>HORAS!G21</f>
        <v>0</v>
      </c>
      <c r="H18" s="24" t="e">
        <f>HORAS!B21</f>
        <v>#REF!</v>
      </c>
      <c r="I18" s="24" t="e">
        <f>HORAS!C21</f>
        <v>#REF!</v>
      </c>
      <c r="J18" s="24">
        <f>HORAS!D21</f>
        <v>0</v>
      </c>
    </row>
    <row r="19" ht="20.1" customHeight="1" spans="1:11">
      <c r="A19" s="16" t="s">
        <v>454</v>
      </c>
      <c r="B19" s="17" t="s">
        <v>478</v>
      </c>
      <c r="C19" s="17">
        <v>1</v>
      </c>
      <c r="D19" s="18">
        <f t="shared" si="1"/>
        <v>0</v>
      </c>
      <c r="E19" s="19">
        <f>HORAS!E22</f>
        <v>0</v>
      </c>
      <c r="F19" s="19">
        <f>HORAS!F22</f>
        <v>0</v>
      </c>
      <c r="G19" s="19">
        <f>HORAS!G22</f>
        <v>0</v>
      </c>
      <c r="H19" s="19">
        <f>HORAS!B22</f>
        <v>0</v>
      </c>
      <c r="I19" s="19">
        <f>HORAS!C22</f>
        <v>0</v>
      </c>
      <c r="J19" s="19">
        <f>HORAS!D22</f>
        <v>0</v>
      </c>
    </row>
    <row r="20" ht="20.1" customHeight="1" spans="1:11">
      <c r="A20" s="21" t="s">
        <v>455</v>
      </c>
      <c r="B20" s="22" t="s">
        <v>478</v>
      </c>
      <c r="C20" s="22">
        <v>1</v>
      </c>
      <c r="D20" s="23">
        <f t="shared" si="1"/>
        <v>0</v>
      </c>
      <c r="E20" s="24">
        <f>HORAS!E23</f>
        <v>0</v>
      </c>
      <c r="F20" s="24">
        <f>HORAS!F23</f>
        <v>0</v>
      </c>
      <c r="G20" s="24">
        <f>HORAS!G23</f>
        <v>0</v>
      </c>
      <c r="H20" s="24">
        <f>HORAS!B23</f>
        <v>0</v>
      </c>
      <c r="I20" s="24">
        <f>HORAS!C23</f>
        <v>0</v>
      </c>
      <c r="J20" s="24">
        <f>HORAS!D23</f>
        <v>0</v>
      </c>
    </row>
    <row r="21" ht="20.1" customHeight="1" spans="1:11">
      <c r="A21" s="16" t="s">
        <v>490</v>
      </c>
      <c r="B21" s="17" t="s">
        <v>480</v>
      </c>
      <c r="C21" s="17">
        <v>1</v>
      </c>
      <c r="D21" s="18" t="e">
        <f t="shared" si="1"/>
        <v>#REF!</v>
      </c>
      <c r="E21" s="19" t="e">
        <f>HORAS!E24</f>
        <v>#REF!</v>
      </c>
      <c r="F21" s="19">
        <f>HORAS!F24</f>
        <v>0</v>
      </c>
      <c r="G21" s="19">
        <f>HORAS!G24</f>
        <v>0</v>
      </c>
      <c r="H21" s="19" t="e">
        <f>HORAS!B24</f>
        <v>#REF!</v>
      </c>
      <c r="I21" s="19">
        <f>HORAS!C24</f>
        <v>0</v>
      </c>
      <c r="J21" s="19">
        <f>HORAS!D24</f>
        <v>0</v>
      </c>
    </row>
    <row r="22" ht="20.1" customHeight="1" spans="1:11">
      <c r="A22" s="21" t="s">
        <v>456</v>
      </c>
      <c r="B22" s="22" t="s">
        <v>479</v>
      </c>
      <c r="C22" s="22">
        <v>1</v>
      </c>
      <c r="D22" s="23" t="e">
        <f t="shared" si="1"/>
        <v>#REF!</v>
      </c>
      <c r="E22" s="24" t="e">
        <f>HORAS!E25</f>
        <v>#REF!</v>
      </c>
      <c r="F22" s="24" t="e">
        <f>HORAS!F25</f>
        <v>#REF!</v>
      </c>
      <c r="G22" s="24">
        <f>HORAS!G25</f>
        <v>0</v>
      </c>
      <c r="H22" s="24" t="e">
        <f>HORAS!B25</f>
        <v>#REF!</v>
      </c>
      <c r="I22" s="24" t="e">
        <f>HORAS!C25</f>
        <v>#REF!</v>
      </c>
      <c r="J22" s="24">
        <f>HORAS!D25</f>
        <v>0</v>
      </c>
    </row>
    <row r="23" ht="20.1" customHeight="1" spans="1:11">
      <c r="A23" s="16" t="s">
        <v>491</v>
      </c>
      <c r="B23" s="26" t="s">
        <v>478</v>
      </c>
      <c r="C23" s="26">
        <v>1</v>
      </c>
      <c r="D23" s="27" t="e">
        <f t="shared" si="1"/>
        <v>#REF!</v>
      </c>
      <c r="E23" s="28" t="e">
        <f>HORAS!E33</f>
        <v>#REF!</v>
      </c>
      <c r="F23" s="28">
        <f>HORAS!F33</f>
        <v>0</v>
      </c>
      <c r="G23" s="28">
        <f>HORAS!G33</f>
        <v>0</v>
      </c>
      <c r="H23" s="28" t="e">
        <f>HORAS!B33</f>
        <v>#REF!</v>
      </c>
      <c r="I23" s="28">
        <f>HORAS!C33</f>
        <v>0</v>
      </c>
      <c r="J23" s="28">
        <f>HORAS!D33</f>
        <v>0</v>
      </c>
      <c r="K23" s="1"/>
    </row>
    <row r="24" ht="24.95" customHeight="1" spans="1:11">
      <c r="B24" s="29" t="s">
        <v>457</v>
      </c>
      <c r="C24" s="29"/>
      <c r="D24" s="30" t="e">
        <f>SUM(D6:D23)</f>
        <v>#REF!</v>
      </c>
      <c r="E24" s="30" t="e">
        <f>SUM(E6:E23)</f>
        <v>#REF!</v>
      </c>
      <c r="F24" s="30" t="e">
        <f t="shared" ref="F24:J24" si="2">SUM(F6:F23)</f>
        <v>#REF!</v>
      </c>
      <c r="G24" s="30">
        <f t="shared" si="2"/>
        <v>0</v>
      </c>
      <c r="H24" s="30" t="e">
        <f t="shared" si="2"/>
        <v>#REF!</v>
      </c>
      <c r="I24" s="30" t="e">
        <f t="shared" si="2"/>
        <v>#REF!</v>
      </c>
      <c r="J24" s="30">
        <f t="shared" si="2"/>
        <v>0</v>
      </c>
      <c r="K24" s="1"/>
    </row>
    <row r="25" s="1" customFormat="1" ht="5.1" customHeight="1" spans="1:11">
      <c r="A25" s="8"/>
      <c r="B25" s="8"/>
      <c r="C25" s="8"/>
      <c r="D25" s="8"/>
      <c r="E25" s="8"/>
      <c r="F25" s="8"/>
      <c r="G25" s="8"/>
      <c r="H25" s="8"/>
      <c r="I25" s="8"/>
      <c r="J25" s="9"/>
    </row>
    <row r="26" s="1" customFormat="1" ht="33" customHeight="1" spans="1:11">
      <c r="A26" s="10" t="s">
        <v>424</v>
      </c>
      <c r="B26" s="10"/>
      <c r="C26" s="10"/>
      <c r="D26" s="10"/>
      <c r="E26" s="10"/>
      <c r="F26" s="10"/>
      <c r="G26" s="10"/>
      <c r="H26" s="10"/>
      <c r="I26" s="10"/>
      <c r="J26" s="10"/>
      <c r="K26" s="2"/>
    </row>
    <row r="27" s="1" customFormat="1" ht="24.95" customHeight="1" spans="1:11">
      <c r="A27" s="11" t="s">
        <v>434</v>
      </c>
      <c r="B27" s="12" t="s">
        <v>473</v>
      </c>
      <c r="C27" s="12"/>
      <c r="D27" s="13" t="s">
        <v>488</v>
      </c>
      <c r="E27" s="14"/>
      <c r="F27" s="14"/>
      <c r="G27" s="15"/>
      <c r="H27" s="13" t="s">
        <v>487</v>
      </c>
      <c r="I27" s="14"/>
      <c r="J27" s="15"/>
      <c r="K27" s="5"/>
    </row>
    <row r="28" s="2" customFormat="1" ht="24.95" customHeight="1" spans="1:11">
      <c r="A28" s="11"/>
      <c r="B28" s="12" t="s">
        <v>475</v>
      </c>
      <c r="C28" s="11" t="s">
        <v>476</v>
      </c>
      <c r="D28" s="12" t="s">
        <v>477</v>
      </c>
      <c r="E28" s="12" t="s">
        <v>425</v>
      </c>
      <c r="F28" s="12" t="s">
        <v>441</v>
      </c>
      <c r="G28" s="12" t="s">
        <v>442</v>
      </c>
      <c r="H28" s="11" t="s">
        <v>425</v>
      </c>
      <c r="I28" s="12" t="s">
        <v>441</v>
      </c>
      <c r="J28" s="12" t="s">
        <v>442</v>
      </c>
      <c r="K28" s="5"/>
    </row>
    <row r="29" ht="20.1" customHeight="1" spans="1:11">
      <c r="A29" s="16" t="s">
        <v>200</v>
      </c>
      <c r="B29" s="31" t="s">
        <v>478</v>
      </c>
      <c r="C29" s="32">
        <v>1</v>
      </c>
      <c r="D29" s="18">
        <f>SUM(E29:G29)</f>
        <v>0</v>
      </c>
      <c r="E29" s="19">
        <f>HORAS!E26</f>
        <v>0</v>
      </c>
      <c r="F29" s="19">
        <f>HORAS!F26</f>
        <v>0</v>
      </c>
      <c r="G29" s="19">
        <f>HORAS!G26</f>
        <v>0</v>
      </c>
      <c r="H29" s="19">
        <f>HORAS!B26</f>
        <v>0</v>
      </c>
      <c r="I29" s="19">
        <f>HORAS!C26</f>
        <v>0</v>
      </c>
      <c r="J29" s="19">
        <f>HORAS!D26</f>
        <v>0</v>
      </c>
    </row>
    <row r="30" ht="20.1" customHeight="1" spans="1:11">
      <c r="A30" s="21" t="s">
        <v>209</v>
      </c>
      <c r="B30" s="33" t="s">
        <v>478</v>
      </c>
      <c r="C30" s="34">
        <v>1</v>
      </c>
      <c r="D30" s="23">
        <f t="shared" ref="D30:D38" si="3">SUM(E30:G30)</f>
        <v>0</v>
      </c>
      <c r="E30" s="24">
        <f>HORAS!E27</f>
        <v>0</v>
      </c>
      <c r="F30" s="24">
        <f>HORAS!F27</f>
        <v>0</v>
      </c>
      <c r="G30" s="24">
        <f>HORAS!G27</f>
        <v>0</v>
      </c>
      <c r="H30" s="24">
        <f>HORAS!B27</f>
        <v>0</v>
      </c>
      <c r="I30" s="24">
        <f>HORAS!C27</f>
        <v>0</v>
      </c>
      <c r="J30" s="24">
        <f>HORAS!D27</f>
        <v>0</v>
      </c>
    </row>
    <row r="31" ht="20.1" customHeight="1" spans="1:11">
      <c r="A31" s="16" t="s">
        <v>459</v>
      </c>
      <c r="B31" s="31" t="s">
        <v>478</v>
      </c>
      <c r="C31" s="32">
        <v>1</v>
      </c>
      <c r="D31" s="18">
        <f t="shared" si="3"/>
        <v>0</v>
      </c>
      <c r="E31" s="19">
        <f>HORAS!E28</f>
        <v>0</v>
      </c>
      <c r="F31" s="19">
        <f>HORAS!F28</f>
        <v>0</v>
      </c>
      <c r="G31" s="19">
        <f>HORAS!G28</f>
        <v>0</v>
      </c>
      <c r="H31" s="19">
        <f>HORAS!B28</f>
        <v>0</v>
      </c>
      <c r="I31" s="19">
        <f>HORAS!C28</f>
        <v>0</v>
      </c>
      <c r="J31" s="19">
        <f>HORAS!D28</f>
        <v>0</v>
      </c>
    </row>
    <row r="32" ht="20.1" customHeight="1" spans="1:11">
      <c r="A32" s="21" t="s">
        <v>460</v>
      </c>
      <c r="B32" s="33" t="s">
        <v>478</v>
      </c>
      <c r="C32" s="34">
        <v>2</v>
      </c>
      <c r="D32" s="23" t="e">
        <f t="shared" si="3"/>
        <v>#REF!</v>
      </c>
      <c r="E32" s="24" t="e">
        <f>HORAS!E29</f>
        <v>#REF!</v>
      </c>
      <c r="F32" s="24">
        <f>HORAS!F29</f>
        <v>0</v>
      </c>
      <c r="G32" s="24">
        <f>HORAS!G29</f>
        <v>0</v>
      </c>
      <c r="H32" s="24" t="e">
        <f>HORAS!B29</f>
        <v>#REF!</v>
      </c>
      <c r="I32" s="24">
        <f>HORAS!C29</f>
        <v>0</v>
      </c>
      <c r="J32" s="24">
        <f>HORAS!D29</f>
        <v>0</v>
      </c>
    </row>
    <row r="33" ht="20.1" customHeight="1" spans="1:15">
      <c r="A33" s="16" t="s">
        <v>461</v>
      </c>
      <c r="B33" s="31" t="s">
        <v>478</v>
      </c>
      <c r="C33" s="32">
        <v>1</v>
      </c>
      <c r="D33" s="18">
        <f t="shared" si="3"/>
        <v>0</v>
      </c>
      <c r="E33" s="19">
        <f>HORAS!E30</f>
        <v>0</v>
      </c>
      <c r="F33" s="19">
        <f>HORAS!F30</f>
        <v>0</v>
      </c>
      <c r="G33" s="19">
        <f>HORAS!G30</f>
        <v>0</v>
      </c>
      <c r="H33" s="19">
        <f>HORAS!B30</f>
        <v>0</v>
      </c>
      <c r="I33" s="19">
        <f>HORAS!C30</f>
        <v>0</v>
      </c>
      <c r="J33" s="19">
        <f>HORAS!D30</f>
        <v>0</v>
      </c>
    </row>
    <row r="34" ht="20.1" customHeight="1" spans="1:15">
      <c r="A34" s="16" t="s">
        <v>263</v>
      </c>
      <c r="B34" s="31" t="s">
        <v>478</v>
      </c>
      <c r="C34" s="32">
        <v>1</v>
      </c>
      <c r="D34" s="18">
        <f t="shared" si="3"/>
        <v>0</v>
      </c>
      <c r="E34" s="19">
        <f>HORAS!E31</f>
        <v>0</v>
      </c>
      <c r="F34" s="19">
        <f>HORAS!F31</f>
        <v>0</v>
      </c>
      <c r="G34" s="19">
        <f>HORAS!G31</f>
        <v>0</v>
      </c>
      <c r="H34" s="19">
        <f>HORAS!B31</f>
        <v>0</v>
      </c>
      <c r="I34" s="19">
        <f>HORAS!C31</f>
        <v>0</v>
      </c>
      <c r="J34" s="19">
        <f>HORAS!D31</f>
        <v>0</v>
      </c>
    </row>
    <row r="35" ht="20.1" customHeight="1" spans="1:15">
      <c r="A35" s="21" t="s">
        <v>463</v>
      </c>
      <c r="B35" s="33" t="s">
        <v>478</v>
      </c>
      <c r="C35" s="34">
        <v>1</v>
      </c>
      <c r="D35" s="23">
        <f t="shared" si="3"/>
        <v>0</v>
      </c>
      <c r="E35" s="24">
        <f>HORAS!E32</f>
        <v>0</v>
      </c>
      <c r="F35" s="24">
        <f>HORAS!F32</f>
        <v>0</v>
      </c>
      <c r="G35" s="24">
        <f>HORAS!G32</f>
        <v>0</v>
      </c>
      <c r="H35" s="24">
        <f>HORAS!B32</f>
        <v>0</v>
      </c>
      <c r="I35" s="24">
        <f>HORAS!C32</f>
        <v>0</v>
      </c>
      <c r="J35" s="24">
        <f>HORAS!D32</f>
        <v>0</v>
      </c>
    </row>
    <row r="36" ht="20.1" customHeight="1" spans="1:15">
      <c r="A36" s="16" t="s">
        <v>464</v>
      </c>
      <c r="B36" s="31" t="s">
        <v>478</v>
      </c>
      <c r="C36" s="32">
        <v>1</v>
      </c>
      <c r="D36" s="18">
        <f t="shared" si="3"/>
        <v>0</v>
      </c>
      <c r="E36" s="19">
        <f>HORAS!E34</f>
        <v>0</v>
      </c>
      <c r="F36" s="19">
        <f>HORAS!F34</f>
        <v>0</v>
      </c>
      <c r="G36" s="19">
        <f>HORAS!G34</f>
        <v>0</v>
      </c>
      <c r="H36" s="19">
        <f>HORAS!B34</f>
        <v>0</v>
      </c>
      <c r="I36" s="19">
        <f>HORAS!C34</f>
        <v>0</v>
      </c>
      <c r="J36" s="19">
        <f>HORAS!D34</f>
        <v>0</v>
      </c>
    </row>
    <row r="37" ht="20.1" customHeight="1" spans="1:15">
      <c r="A37" s="21" t="s">
        <v>293</v>
      </c>
      <c r="B37" s="33" t="s">
        <v>478</v>
      </c>
      <c r="C37" s="34">
        <v>1</v>
      </c>
      <c r="D37" s="23">
        <f t="shared" si="3"/>
        <v>0</v>
      </c>
      <c r="E37" s="24">
        <f>HORAS!E35</f>
        <v>0</v>
      </c>
      <c r="F37" s="24">
        <f>HORAS!F35</f>
        <v>0</v>
      </c>
      <c r="G37" s="24">
        <f>HORAS!G35</f>
        <v>0</v>
      </c>
      <c r="H37" s="24">
        <f>HORAS!B35</f>
        <v>0</v>
      </c>
      <c r="I37" s="24">
        <f>HORAS!C35</f>
        <v>0</v>
      </c>
      <c r="J37" s="24">
        <f>HORAS!D35</f>
        <v>0</v>
      </c>
    </row>
    <row r="38" ht="20.1" customHeight="1" spans="1:15">
      <c r="A38" s="16" t="s">
        <v>465</v>
      </c>
      <c r="B38" s="31" t="s">
        <v>478</v>
      </c>
      <c r="C38" s="32">
        <v>2</v>
      </c>
      <c r="D38" s="18">
        <f t="shared" si="3"/>
        <v>0</v>
      </c>
      <c r="E38" s="19">
        <f>HORAS!E36</f>
        <v>0</v>
      </c>
      <c r="F38" s="19">
        <f>HORAS!F36</f>
        <v>0</v>
      </c>
      <c r="G38" s="19">
        <f>HORAS!G36</f>
        <v>0</v>
      </c>
      <c r="H38" s="19">
        <f>HORAS!B36</f>
        <v>0</v>
      </c>
      <c r="I38" s="19">
        <f>HORAS!C36</f>
        <v>0</v>
      </c>
      <c r="J38" s="19">
        <f>HORAS!D36</f>
        <v>0</v>
      </c>
    </row>
    <row r="39" ht="24.95" customHeight="1" spans="1:15">
      <c r="B39" s="35" t="s">
        <v>457</v>
      </c>
      <c r="C39" s="36"/>
      <c r="D39" s="37" t="e">
        <f>SUM(D29:D38)</f>
        <v>#REF!</v>
      </c>
      <c r="E39" s="37" t="e">
        <f>SUM(E29:E38)</f>
        <v>#REF!</v>
      </c>
      <c r="F39" s="37">
        <f t="shared" ref="F39:J39" si="4">SUM(F29:F38)</f>
        <v>0</v>
      </c>
      <c r="G39" s="37">
        <f t="shared" si="4"/>
        <v>0</v>
      </c>
      <c r="H39" s="37" t="e">
        <f t="shared" si="4"/>
        <v>#REF!</v>
      </c>
      <c r="I39" s="37">
        <f t="shared" si="4"/>
        <v>0</v>
      </c>
      <c r="J39" s="37">
        <f t="shared" si="4"/>
        <v>0</v>
      </c>
    </row>
    <row r="41" spans="1:15">
      <c r="K41" s="38"/>
    </row>
    <row r="42" ht="20.1" customHeight="1" spans="1:15">
      <c r="A42" s="11" t="s">
        <v>434</v>
      </c>
      <c r="B42" s="13" t="s">
        <v>482</v>
      </c>
      <c r="C42" s="14"/>
      <c r="D42" s="14"/>
      <c r="E42" s="15"/>
      <c r="F42" s="11" t="s">
        <v>488</v>
      </c>
      <c r="G42" s="11"/>
      <c r="H42" s="11"/>
      <c r="I42" s="39" t="s">
        <v>492</v>
      </c>
      <c r="J42" s="40"/>
      <c r="K42" s="41"/>
    </row>
    <row r="43" s="3" customFormat="1" ht="36.75" customHeight="1" spans="1:15">
      <c r="A43" s="11"/>
      <c r="B43" s="42" t="s">
        <v>475</v>
      </c>
      <c r="C43" s="42" t="s">
        <v>493</v>
      </c>
      <c r="D43" s="42" t="s">
        <v>494</v>
      </c>
      <c r="E43" s="42" t="s">
        <v>335</v>
      </c>
      <c r="F43" s="42" t="s">
        <v>467</v>
      </c>
      <c r="G43" s="43" t="s">
        <v>468</v>
      </c>
      <c r="H43" s="42" t="s">
        <v>335</v>
      </c>
      <c r="I43" s="44" t="s">
        <v>495</v>
      </c>
      <c r="J43" s="44" t="s">
        <v>441</v>
      </c>
      <c r="K43" s="12" t="s">
        <v>442</v>
      </c>
      <c r="L43" s="43" t="s">
        <v>468</v>
      </c>
      <c r="M43" s="42" t="s">
        <v>335</v>
      </c>
    </row>
    <row r="44" s="3" customFormat="1" ht="20.1" customHeight="1" spans="1:15">
      <c r="A44" s="45" t="s">
        <v>469</v>
      </c>
      <c r="B44" s="46" t="s">
        <v>478</v>
      </c>
      <c r="C44" s="47"/>
      <c r="D44" s="47"/>
      <c r="E44" s="47"/>
      <c r="F44" s="48" t="e">
        <f>SUM(D6,D7,D8,D10,D13,D14,D16,D17,D19,D20,D23)</f>
        <v>#REF!</v>
      </c>
      <c r="G44" s="48" t="e">
        <f>F44*3%</f>
        <v>#REF!</v>
      </c>
      <c r="H44" s="48" t="e">
        <f>SUM(F44:G44)</f>
        <v>#REF!</v>
      </c>
      <c r="I44" s="48" t="e">
        <f>SUM(H6,H7,H8,H10,H13,H14,H16,H17,H19,H20,H23)</f>
        <v>#REF!</v>
      </c>
      <c r="J44" s="48" t="e">
        <f>SUM(I6,I7,I8,I10,I13,I14,I16,I17,I19,I20,I23)</f>
        <v>#REF!</v>
      </c>
      <c r="K44" s="48">
        <f>SUM(J6,J7,J8,J10,J13,J14,J16,J17,J19,J20,J23)</f>
        <v>0</v>
      </c>
      <c r="L44" s="48" t="e">
        <f>I44*3%</f>
        <v>#REF!</v>
      </c>
      <c r="M44" s="48" t="e">
        <f>SUM(I44:L44)</f>
        <v>#REF!</v>
      </c>
      <c r="N44" s="49" t="e">
        <f>J44*3%</f>
        <v>#REF!</v>
      </c>
      <c r="O44" s="49" t="e">
        <f>J44+N44</f>
        <v>#REF!</v>
      </c>
    </row>
    <row r="45" s="3" customFormat="1" ht="20.1" customHeight="1" spans="1:15">
      <c r="A45" s="45"/>
      <c r="B45" s="46" t="s">
        <v>479</v>
      </c>
      <c r="C45" s="45"/>
      <c r="D45" s="45"/>
      <c r="E45" s="45"/>
      <c r="F45" s="48" t="e">
        <f>SUM(D11,D12,D15,D18,D22)</f>
        <v>#REF!</v>
      </c>
      <c r="G45" s="48" t="e">
        <f t="shared" ref="G45:G46" si="5">F45*3%</f>
        <v>#REF!</v>
      </c>
      <c r="H45" s="48" t="e">
        <f t="shared" ref="H45:H46" si="6">SUM(F45:G45)</f>
        <v>#REF!</v>
      </c>
      <c r="I45" s="48" t="e">
        <f>SUM(H11,H12,H15,H18,H22)</f>
        <v>#REF!</v>
      </c>
      <c r="J45" s="48" t="e">
        <f>SUM(I11,I12,I15,I18,I22)</f>
        <v>#REF!</v>
      </c>
      <c r="K45" s="48">
        <f>SUM(J11,J12,J15,J18,J22)</f>
        <v>0</v>
      </c>
      <c r="L45" s="48" t="e">
        <f>I45*3%</f>
        <v>#REF!</v>
      </c>
      <c r="M45" s="48" t="e">
        <f>SUM(I45:L45)</f>
        <v>#REF!</v>
      </c>
      <c r="N45" s="49" t="e">
        <f t="shared" ref="N45:N46" si="7">J45*3%</f>
        <v>#REF!</v>
      </c>
      <c r="O45" s="49" t="e">
        <f t="shared" ref="O45:O46" si="8">J45+N45</f>
        <v>#REF!</v>
      </c>
    </row>
    <row r="46" s="3" customFormat="1" ht="20.1" customHeight="1" spans="1:15">
      <c r="A46" s="50"/>
      <c r="B46" s="51" t="s">
        <v>480</v>
      </c>
      <c r="C46" s="50"/>
      <c r="D46" s="50"/>
      <c r="E46" s="50"/>
      <c r="F46" s="52" t="e">
        <f>SUM(D9,D21)</f>
        <v>#REF!</v>
      </c>
      <c r="G46" s="52" t="e">
        <f t="shared" si="5"/>
        <v>#REF!</v>
      </c>
      <c r="H46" s="52" t="e">
        <f t="shared" si="6"/>
        <v>#REF!</v>
      </c>
      <c r="I46" s="52" t="e">
        <f>SUM(H9,H21)</f>
        <v>#REF!</v>
      </c>
      <c r="J46" s="52">
        <f>SUM(I9,I21)</f>
        <v>0</v>
      </c>
      <c r="K46" s="52">
        <f>SUM(J9,J21)</f>
        <v>0</v>
      </c>
      <c r="L46" s="52" t="e">
        <f>I46*3%</f>
        <v>#REF!</v>
      </c>
      <c r="M46" s="52" t="e">
        <f>SUM(I46:L46)</f>
        <v>#REF!</v>
      </c>
      <c r="N46" s="49">
        <f t="shared" si="7"/>
        <v>0</v>
      </c>
      <c r="O46" s="49">
        <f t="shared" si="8"/>
        <v>0</v>
      </c>
    </row>
    <row r="47" s="4" customFormat="1" ht="24.95" customHeight="1" spans="1:15">
      <c r="A47" s="53"/>
      <c r="B47" s="54" t="s">
        <v>335</v>
      </c>
      <c r="C47" s="55">
        <f>SUM(C44:C46)</f>
        <v>0</v>
      </c>
      <c r="D47" s="55">
        <f t="shared" ref="D47" si="9">SUM(D44:D46)</f>
        <v>0</v>
      </c>
      <c r="E47" s="55">
        <f t="shared" ref="E47:F47" si="10">SUM(E44:E46)</f>
        <v>0</v>
      </c>
      <c r="F47" s="56" t="e">
        <f t="shared" si="10"/>
        <v>#REF!</v>
      </c>
      <c r="G47" s="56" t="e">
        <f t="shared" ref="G47:I47" si="11">SUM(G44:G46)</f>
        <v>#REF!</v>
      </c>
      <c r="H47" s="56" t="e">
        <f t="shared" si="11"/>
        <v>#REF!</v>
      </c>
      <c r="I47" s="56" t="e">
        <f t="shared" si="11"/>
        <v>#REF!</v>
      </c>
      <c r="J47" s="56"/>
      <c r="K47" s="56"/>
      <c r="L47" s="56" t="e">
        <f t="shared" ref="L47:M47" si="12">SUM(L44:L46)</f>
        <v>#REF!</v>
      </c>
      <c r="M47" s="56" t="e">
        <f t="shared" si="12"/>
        <v>#REF!</v>
      </c>
    </row>
    <row r="48" s="3" customFormat="1" ht="20.1" customHeight="1" spans="1:15">
      <c r="A48" s="45" t="s">
        <v>470</v>
      </c>
      <c r="B48" s="57" t="s">
        <v>478</v>
      </c>
      <c r="C48" s="58"/>
      <c r="D48" s="58"/>
      <c r="E48" s="58"/>
      <c r="F48" s="59" t="e">
        <f>SUM(D29,D30,D31,D32,D33,D34,D35,D36,D37,D38)</f>
        <v>#REF!</v>
      </c>
      <c r="G48" s="59" t="e">
        <f t="shared" ref="G48:G50" si="13">F48*3%</f>
        <v>#REF!</v>
      </c>
      <c r="H48" s="59" t="e">
        <f t="shared" ref="H48:H50" si="14">SUM(F48:G48)</f>
        <v>#REF!</v>
      </c>
      <c r="I48" s="59" t="e">
        <f>SUM(H29,H30,H31,H32,H33,H34,H35,H36,H37,H38)</f>
        <v>#REF!</v>
      </c>
      <c r="J48" s="59"/>
      <c r="K48" s="59"/>
      <c r="L48" s="59" t="e">
        <f>I48*3%</f>
        <v>#REF!</v>
      </c>
      <c r="M48" s="59" t="e">
        <f>SUM(I48:L48)</f>
        <v>#REF!</v>
      </c>
      <c r="N48" s="49">
        <f>K44*3%</f>
        <v>0</v>
      </c>
      <c r="O48" s="49">
        <f>K44+N48</f>
        <v>0</v>
      </c>
    </row>
    <row r="49" s="3" customFormat="1" ht="20.1" customHeight="1" spans="1:13">
      <c r="A49" s="45"/>
      <c r="B49" s="46" t="s">
        <v>479</v>
      </c>
      <c r="C49" s="45"/>
      <c r="D49" s="45"/>
      <c r="E49" s="45"/>
      <c r="F49" s="48">
        <v>0</v>
      </c>
      <c r="G49" s="48">
        <f t="shared" si="13"/>
        <v>0</v>
      </c>
      <c r="H49" s="48">
        <f t="shared" si="14"/>
        <v>0</v>
      </c>
      <c r="I49" s="48">
        <v>0</v>
      </c>
      <c r="J49" s="48"/>
      <c r="K49" s="48"/>
      <c r="L49" s="48">
        <f>I49*3%</f>
        <v>0</v>
      </c>
      <c r="M49" s="48">
        <f>SUM(I49:L49)</f>
        <v>0</v>
      </c>
    </row>
    <row r="50" s="3" customFormat="1" ht="20.1" customHeight="1" spans="1:13">
      <c r="A50" s="45"/>
      <c r="B50" s="51" t="s">
        <v>480</v>
      </c>
      <c r="C50" s="50"/>
      <c r="D50" s="50"/>
      <c r="E50" s="50"/>
      <c r="F50" s="52">
        <v>0</v>
      </c>
      <c r="G50" s="52">
        <f t="shared" si="13"/>
        <v>0</v>
      </c>
      <c r="H50" s="52">
        <f t="shared" si="14"/>
        <v>0</v>
      </c>
      <c r="I50" s="52">
        <v>0</v>
      </c>
      <c r="J50" s="52"/>
      <c r="K50" s="52"/>
      <c r="L50" s="52">
        <f>I50*3%</f>
        <v>0</v>
      </c>
      <c r="M50" s="52">
        <f>SUM(I50:L50)</f>
        <v>0</v>
      </c>
    </row>
    <row r="51" s="4" customFormat="1" ht="24.95" customHeight="1" spans="1:13">
      <c r="A51" s="53"/>
      <c r="B51" s="54" t="s">
        <v>335</v>
      </c>
      <c r="C51" s="55">
        <f>SUM(C48:C50)</f>
        <v>0</v>
      </c>
      <c r="D51" s="55">
        <f t="shared" ref="D51" si="15">SUM(D48:D50)</f>
        <v>0</v>
      </c>
      <c r="E51" s="55">
        <f t="shared" ref="E51:F51" si="16">SUM(E48:E50)</f>
        <v>0</v>
      </c>
      <c r="F51" s="56" t="e">
        <f t="shared" si="16"/>
        <v>#REF!</v>
      </c>
      <c r="G51" s="56" t="e">
        <f t="shared" ref="G51:I51" si="17">SUM(G48:G50)</f>
        <v>#REF!</v>
      </c>
      <c r="H51" s="56" t="e">
        <f t="shared" si="17"/>
        <v>#REF!</v>
      </c>
      <c r="I51" s="56" t="e">
        <f t="shared" si="17"/>
        <v>#REF!</v>
      </c>
      <c r="J51" s="56"/>
      <c r="K51" s="56"/>
      <c r="L51" s="56" t="e">
        <f t="shared" ref="L51:M51" si="18">SUM(L48:L50)</f>
        <v>#REF!</v>
      </c>
      <c r="M51" s="56" t="e">
        <f t="shared" si="18"/>
        <v>#REF!</v>
      </c>
    </row>
    <row r="52" ht="5.1" customHeight="1" spans="1:13">
      <c r="F52" s="60"/>
      <c r="G52" s="60"/>
      <c r="H52" s="60"/>
      <c r="I52" s="60"/>
      <c r="J52" s="60"/>
      <c r="K52" s="60"/>
      <c r="L52" s="60"/>
      <c r="M52" s="60"/>
    </row>
    <row r="53" s="4" customFormat="1" ht="24.95" customHeight="1" spans="1:13">
      <c r="A53" s="61"/>
      <c r="B53" s="62" t="s">
        <v>483</v>
      </c>
      <c r="C53" s="63">
        <f>SUM(C51,C47)</f>
        <v>0</v>
      </c>
      <c r="D53" s="63">
        <f t="shared" ref="D53:M53" si="19">SUM(D51,D47)</f>
        <v>0</v>
      </c>
      <c r="E53" s="63">
        <f t="shared" si="19"/>
        <v>0</v>
      </c>
      <c r="F53" s="64" t="e">
        <f t="shared" ref="F53:H53" si="20">SUM(F51,F47)</f>
        <v>#REF!</v>
      </c>
      <c r="G53" s="64" t="e">
        <f t="shared" si="20"/>
        <v>#REF!</v>
      </c>
      <c r="H53" s="64" t="e">
        <f t="shared" si="20"/>
        <v>#REF!</v>
      </c>
      <c r="I53" s="64" t="e">
        <f t="shared" si="19"/>
        <v>#REF!</v>
      </c>
      <c r="J53" s="64"/>
      <c r="K53" s="64"/>
      <c r="L53" s="64" t="e">
        <f t="shared" si="19"/>
        <v>#REF!</v>
      </c>
      <c r="M53" s="64" t="e">
        <f t="shared" si="19"/>
        <v>#REF!</v>
      </c>
    </row>
  </sheetData>
  <mergeCells count="19">
    <mergeCell ref="A1:I1"/>
    <mergeCell ref="A3:J3"/>
    <mergeCell ref="B4:C4"/>
    <mergeCell ref="D4:G4"/>
    <mergeCell ref="H4:J4"/>
    <mergeCell ref="B24:C24"/>
    <mergeCell ref="A26:J26"/>
    <mergeCell ref="B27:C27"/>
    <mergeCell ref="D27:G27"/>
    <mergeCell ref="H27:J27"/>
    <mergeCell ref="B39:C39"/>
    <mergeCell ref="B42:E42"/>
    <mergeCell ref="F42:H42"/>
    <mergeCell ref="A4:A5"/>
    <mergeCell ref="A10:A11"/>
    <mergeCell ref="A27:A28"/>
    <mergeCell ref="A42:A43"/>
    <mergeCell ref="A44:A46"/>
    <mergeCell ref="A48:A50"/>
  </mergeCells>
  <pageMargins left="0.511811024" right="0.511811024" top="0.787401575" bottom="0.787401575" header="0.31496062" footer="0.31496062"/>
  <pageSetup paperSize="9" orientation="portrait" horizontalDpi="360" verticalDpi="360"/>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14285714285714" defaultRowHeight="12.75"/>
  <sheetData/>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6A0048C-2381-489B-AA07-9611017176E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36</vt:i4>
      </vt:variant>
    </vt:vector>
  </HeadingPairs>
  <TitlesOfParts>
    <vt:vector size="36" baseType="lpstr">
      <vt:lpstr>101</vt:lpstr>
      <vt:lpstr>102</vt:lpstr>
      <vt:lpstr>103</vt:lpstr>
      <vt:lpstr>105</vt:lpstr>
      <vt:lpstr>107</vt:lpstr>
      <vt:lpstr>108</vt:lpstr>
      <vt:lpstr>109</vt:lpstr>
      <vt:lpstr>110</vt:lpstr>
      <vt:lpstr>111</vt:lpstr>
      <vt:lpstr>112</vt:lpstr>
      <vt:lpstr>113</vt:lpstr>
      <vt:lpstr>114</vt:lpstr>
      <vt:lpstr>115</vt:lpstr>
      <vt:lpstr>116</vt:lpstr>
      <vt:lpstr>117</vt:lpstr>
      <vt:lpstr>119</vt:lpstr>
      <vt:lpstr>201</vt:lpstr>
      <vt:lpstr>202</vt:lpstr>
      <vt:lpstr>205</vt:lpstr>
      <vt:lpstr>206</vt:lpstr>
      <vt:lpstr>301 </vt:lpstr>
      <vt:lpstr>301 (Extra)</vt:lpstr>
      <vt:lpstr>302</vt:lpstr>
      <vt:lpstr>302(Extra)</vt:lpstr>
      <vt:lpstr>304</vt:lpstr>
      <vt:lpstr>305</vt:lpstr>
      <vt:lpstr>305 (Extra)</vt:lpstr>
      <vt:lpstr>306</vt:lpstr>
      <vt:lpstr>Trajetos Carater Especial </vt:lpstr>
      <vt:lpstr>Trajeto Especiais Vibra</vt:lpstr>
      <vt:lpstr>Trajeto Especiais Atlas</vt:lpstr>
      <vt:lpstr>GERAL</vt:lpstr>
      <vt:lpstr>LINHA x FROTA x KM</vt:lpstr>
      <vt:lpstr>HORAS</vt:lpstr>
      <vt:lpstr>LINHA x FROTA x HORA</vt:lpstr>
      <vt:lpstr>Planilha36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WPS_1777990987</cp:lastModifiedBy>
  <dcterms:created xsi:type="dcterms:W3CDTF">2018-09-25T16:41:00Z</dcterms:created>
  <cp:lastPrinted>2022-09-14T17:47:00Z</cp:lastPrinted>
  <dcterms:modified xsi:type="dcterms:W3CDTF">2026-09-03T18:13:50Z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1046-12.1.0.28032</vt:lpwstr>
  </property>
  <property fmtid="{D5CDD505-2E9C-101B-9397-08002B2CF9AE}" pid="3" name="ICV">
    <vt:lpwstr>743217058FF445ECB2FD5FDBFB96869E</vt:lpwstr>
  </property>
  <property fmtid="{D5CDD505-2E9C-101B-9397-08002B2CF9AE}" pid="4" name="CalculationRule">
    <vt:i4>0</vt:i4>
  </property>
</Properties>
</file>